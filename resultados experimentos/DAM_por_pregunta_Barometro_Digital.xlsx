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eusto-my.sharepoint.com/personal/druiz_deusto_es/Documents/Documentos/claude/Projects/Pueblo digital/resultados experimentos/"/>
    </mc:Choice>
  </mc:AlternateContent>
  <xr:revisionPtr revIDLastSave="9" documentId="11_A1D0FEDB9FF8230488CADC72E9B661A450139458" xr6:coauthVersionLast="47" xr6:coauthVersionMax="47" xr10:uidLastSave="{C060FCAA-6C0D-434A-BE60-FB37737EE1CF}"/>
  <bookViews>
    <workbookView xWindow="28680" yWindow="-120" windowWidth="25440" windowHeight="15270" tabRatio="726" activeTab="4" xr2:uid="{00000000-000D-0000-FFFF-FFFF00000000}"/>
  </bookViews>
  <sheets>
    <sheet name="Detalle por pregunta" sheetId="1" r:id="rId1"/>
    <sheet name="Resumen por bloque" sheetId="2" r:id="rId2"/>
    <sheet name="Hoja1" sheetId="3" r:id="rId3"/>
    <sheet name="primer experimento" sheetId="4" r:id="rId4"/>
    <sheet name="Datos" sheetId="5" r:id="rId5"/>
  </sheets>
  <definedNames>
    <definedName name="_xlnm._FilterDatabase" localSheetId="0" hidden="1">'Detalle por pregunta'!$A$1:$E$142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2" l="1"/>
  <c r="C7" i="2"/>
  <c r="B7" i="2"/>
  <c r="C6" i="2"/>
  <c r="B6" i="2"/>
  <c r="C5" i="2"/>
  <c r="B5" i="2"/>
  <c r="C4" i="2"/>
  <c r="B4" i="2"/>
  <c r="C3" i="2"/>
  <c r="B3" i="2"/>
  <c r="C2" i="2"/>
  <c r="B2" i="2"/>
  <c r="B8" i="2" s="1"/>
</calcChain>
</file>

<file path=xl/sharedStrings.xml><?xml version="1.0" encoding="utf-8"?>
<sst xmlns="http://schemas.openxmlformats.org/spreadsheetml/2006/main" count="725" uniqueCount="357">
  <si>
    <t>Bloque</t>
  </si>
  <si>
    <t>Nº</t>
  </si>
  <si>
    <t>Enunciado de la pregunta</t>
  </si>
  <si>
    <t>Ítem (batería)</t>
  </si>
  <si>
    <t>DAM (p.p.)</t>
  </si>
  <si>
    <t>B1 Economía</t>
  </si>
  <si>
    <t>P1</t>
  </si>
  <si>
    <t>En estos momentos, ¿cuáles crees que son los tres principales problemas de la Comunidad Autónoma del País Vasco? Señala hasta un máximo de tres.</t>
  </si>
  <si>
    <t>P2</t>
  </si>
  <si>
    <t>¿Cómo calificarías la situación económica del País Vasco?</t>
  </si>
  <si>
    <t>P3</t>
  </si>
  <si>
    <t>Y dentro de un año, ¿cómo crees que será la situación económica del País Vasco?</t>
  </si>
  <si>
    <t>P4</t>
  </si>
  <si>
    <t>Indica si en el último mes, y como consecuencia de tu situación económica, has hecho o has pensado hacer la siguiente acción</t>
  </si>
  <si>
    <t>Reducir los gastos en ocio</t>
  </si>
  <si>
    <t>P5</t>
  </si>
  <si>
    <t>Renunciar a irme de vacaciones este verano</t>
  </si>
  <si>
    <t>P6</t>
  </si>
  <si>
    <t>Reducir el consumo de carne o pescado</t>
  </si>
  <si>
    <t>P7</t>
  </si>
  <si>
    <t>Reducir los gastos en alimentación</t>
  </si>
  <si>
    <t>P8</t>
  </si>
  <si>
    <t>No comprar ropa o calzado que realmente necesito</t>
  </si>
  <si>
    <t>P9</t>
  </si>
  <si>
    <t>Dejar de ir al dentista</t>
  </si>
  <si>
    <t>P10</t>
  </si>
  <si>
    <t>Renunciar a independizarme, teniendo que permanecer en la casa de mis familiares</t>
  </si>
  <si>
    <t>P11</t>
  </si>
  <si>
    <t>Volver a vivir en casa de mis familiares</t>
  </si>
  <si>
    <t>P12</t>
  </si>
  <si>
    <t>Pedir ayuda económica a amigos/as, vecinos/as o familiares</t>
  </si>
  <si>
    <t>P13</t>
  </si>
  <si>
    <t>Retrasar algún pago</t>
  </si>
  <si>
    <t>P14</t>
  </si>
  <si>
    <t>No comprar alguna medicina o dejar de seguir un tratamiento médico</t>
  </si>
  <si>
    <t>P15</t>
  </si>
  <si>
    <t>Pedir ropa</t>
  </si>
  <si>
    <t>P16</t>
  </si>
  <si>
    <t>Pedir alimentos</t>
  </si>
  <si>
    <t>P17</t>
  </si>
  <si>
    <t>¿Con qué frecuencia has pasado por el siguiente estado de ánimo durante la última semana?</t>
  </si>
  <si>
    <t>Preocupación</t>
  </si>
  <si>
    <t>P18</t>
  </si>
  <si>
    <t>Insomnio o mal sueño</t>
  </si>
  <si>
    <t>P19</t>
  </si>
  <si>
    <t>Rabia / Enfado</t>
  </si>
  <si>
    <t>P20</t>
  </si>
  <si>
    <t>Ansiedad</t>
  </si>
  <si>
    <t>P21</t>
  </si>
  <si>
    <t>Tristeza</t>
  </si>
  <si>
    <t>P22</t>
  </si>
  <si>
    <t>Soledad</t>
  </si>
  <si>
    <t>P23</t>
  </si>
  <si>
    <t>Miedo</t>
  </si>
  <si>
    <t>P24</t>
  </si>
  <si>
    <t>Odio</t>
  </si>
  <si>
    <t>P25</t>
  </si>
  <si>
    <t>¿Crees que es probable que en los próximos seis meses pierdas tu actual empleo?</t>
  </si>
  <si>
    <t>B2 Bienestar y políticas</t>
  </si>
  <si>
    <t>¿Qué valoración le das a cada uno de los siguientes servicios o políticas? Escala de 0 (muy mala valoración) a 10 (muy buena valoración)</t>
  </si>
  <si>
    <t>El transporte público</t>
  </si>
  <si>
    <t>—</t>
  </si>
  <si>
    <t>La educación en las universidades públicas</t>
  </si>
  <si>
    <t>Los programas de Investigación y Desarrollo</t>
  </si>
  <si>
    <t>Las carreteras</t>
  </si>
  <si>
    <t>La educación en escuelas, colegios e institutos públicos</t>
  </si>
  <si>
    <t>La protección del medio ambiente</t>
  </si>
  <si>
    <t>Las políticas para reducir la desigualdad entre mujeres y hombres</t>
  </si>
  <si>
    <t>Los servicios sociales</t>
  </si>
  <si>
    <t>La atención sanitaria (Osakidetza)</t>
  </si>
  <si>
    <t>Las pensiones</t>
  </si>
  <si>
    <t>La política turística</t>
  </si>
  <si>
    <t>La política lingüística</t>
  </si>
  <si>
    <t>La seguridad ciudadana</t>
  </si>
  <si>
    <t>El servicio de empleo (Lanbide)</t>
  </si>
  <si>
    <t>La Administración de Justicia</t>
  </si>
  <si>
    <t>Las políticas de vivienda</t>
  </si>
  <si>
    <t>¿Crees que los inmigrantes que viven en el País Vasco deberían tener los mismos derechos y las mismas posibilidades que el resto de las personas en lo relativo a…?</t>
  </si>
  <si>
    <t>Asistencia sanitaria</t>
  </si>
  <si>
    <t>Acceso a la educación</t>
  </si>
  <si>
    <t>Ayudas sociales</t>
  </si>
  <si>
    <t>Abrir centros de culto (religiosos)</t>
  </si>
  <si>
    <t>Traer a la familia más cercana</t>
  </si>
  <si>
    <t>Vivienda de protección oficial</t>
  </si>
  <si>
    <t>Derecho al voto</t>
  </si>
  <si>
    <t>¿En qué medida estás de acuerdo con la siguiente frase?</t>
  </si>
  <si>
    <t>"Es necesario priorizar a las personas autóctonas en la redistribución de recursos públicos</t>
  </si>
  <si>
    <t>¿Crees que dentro de 10 años será más fácil acceder a una vivienda?</t>
  </si>
  <si>
    <t>B3 Miedos</t>
  </si>
  <si>
    <t>Pensando en los problemas globales actuales, indica los 3 que más miedo te dan.</t>
  </si>
  <si>
    <t>"Cedería parte de mis libertades a cambio de mayor garantía de mi seguridad"</t>
  </si>
  <si>
    <t>"El miedo a la delincuencia justifica un mayor control estatal sobre la población"</t>
  </si>
  <si>
    <t>¿En qué medida ha aumentado en los últimos años tu miedo a viajar?</t>
  </si>
  <si>
    <t>¿Has descartado o modificado un viaje en los últimos dos años?</t>
  </si>
  <si>
    <t>Si has descartado o modificado un viaje en los últimos dos años, ¿cuál fue la principal razón? (Si no lo has hecho, elige la opción A)</t>
  </si>
  <si>
    <t>B4 Turismo</t>
  </si>
  <si>
    <t>¿En qué medida crees que el aumento de turistas afecta a la pérdida de la tradición e identidad de Euskadi?</t>
  </si>
  <si>
    <t>¿Crees que el turismo tiene alguno de los siguientes efectos en el acceso a la vivienda de la población local en tu municipio? Indica todas las opciones que consideres.</t>
  </si>
  <si>
    <t>B5 Política y democracia</t>
  </si>
  <si>
    <t>¿Cómo calificarías la situación política general del País Vasco?</t>
  </si>
  <si>
    <t>¿Y cómo crees que será la situación política del País Vasco dentro de un año?</t>
  </si>
  <si>
    <t>Si tuvieras que valorar con una nota de 0 a 10 la calidad de la democracia en el País Vasco, ¿qué nota le pondrías? Escala de 0 (muy mala valoración) a 10 (muy buena valoración)</t>
  </si>
  <si>
    <t>Si tuvieras que valorar con una nota de 0 a 10 la calidad de la democracia en España, ¿qué nota le pondrías? Escala de 0 (muy mala valoración) a 10 (muy buena valoración)</t>
  </si>
  <si>
    <t>¿En qué medida confías en cada una de las siguientes organizaciones o instituciones? Escala de 0 (no confío nada) a 10 (confío plenamente)</t>
  </si>
  <si>
    <t>La Universidad</t>
  </si>
  <si>
    <t>Las pequeñas empresas</t>
  </si>
  <si>
    <t>Osakidetza</t>
  </si>
  <si>
    <t>La Ertzaintza</t>
  </si>
  <si>
    <t>Los Ayuntamientos</t>
  </si>
  <si>
    <t>El Gobierno Vasco</t>
  </si>
  <si>
    <t>EITB</t>
  </si>
  <si>
    <t>Las Diputaciones</t>
  </si>
  <si>
    <t>Las ONG</t>
  </si>
  <si>
    <t>El Parlamento Europeo</t>
  </si>
  <si>
    <t>Los medios de comunicación</t>
  </si>
  <si>
    <t>Los sindicatos</t>
  </si>
  <si>
    <t>El Tribunal Constitucional</t>
  </si>
  <si>
    <t>Los tribunales de justicia</t>
  </si>
  <si>
    <t>El Gobierno Central</t>
  </si>
  <si>
    <t>Las grandes empresas (IBEX 35)</t>
  </si>
  <si>
    <t>Las organizaciones empresariales</t>
  </si>
  <si>
    <t>La Iglesia Católica</t>
  </si>
  <si>
    <t>Los partidos políticos</t>
  </si>
  <si>
    <t>La Monarquía</t>
  </si>
  <si>
    <t>Hay distintas formas de organización territorial. En estos momentos, ¿cuál de las siguientes alternativas prefieres para el País Vasco con respecto al Estado español?</t>
  </si>
  <si>
    <t>P26</t>
  </si>
  <si>
    <t>¿En qué medida consideras necesario un nuevo estatuto para el País Vasco?</t>
  </si>
  <si>
    <t>P27</t>
  </si>
  <si>
    <t>¿Cuál de las siguientes medidas te gustaría que fueran incluidas en el nuevo estatuto? Indica todas las opciones que consideres.</t>
  </si>
  <si>
    <t>P28</t>
  </si>
  <si>
    <t>Indica tu grado de acuerdo con la siguiente afirmación</t>
  </si>
  <si>
    <t>"Me siento libre de expresar mis opiniones políticas en cualquier situación"</t>
  </si>
  <si>
    <t>P29</t>
  </si>
  <si>
    <t>¿A cuál de los siguientes partidos no votarías nunca? Marca todas las necesarias.</t>
  </si>
  <si>
    <t>P30</t>
  </si>
  <si>
    <t>¿Qué partido es el que está más capacitado para mejorar el acceso a la vivienda?</t>
  </si>
  <si>
    <t>mejorar el acceso a la vivienda</t>
  </si>
  <si>
    <t>P31</t>
  </si>
  <si>
    <t>¿Qué partido es el que está más capacitado para mejorar la atención de Osakidetza?</t>
  </si>
  <si>
    <t>mejorar la atención de Osakidetza</t>
  </si>
  <si>
    <t>P32</t>
  </si>
  <si>
    <t>¿Qué partido es el que está más capacitado para mejorar la educación pública?</t>
  </si>
  <si>
    <t>mejorar la educación pública</t>
  </si>
  <si>
    <t>P33</t>
  </si>
  <si>
    <t>¿Qué partido es el que está más capacitado para gestionar la inmigración?</t>
  </si>
  <si>
    <t>gestionar la inmigración</t>
  </si>
  <si>
    <t>P34</t>
  </si>
  <si>
    <t>¿Qué partido es el que está más capacitado para gestionar la política lingüística?</t>
  </si>
  <si>
    <t>gestionar la política lingüística</t>
  </si>
  <si>
    <t>P35</t>
  </si>
  <si>
    <t>¿Qué partido es el que está más capacitado para incrementar la seguridad?</t>
  </si>
  <si>
    <t>incrementar la seguridad</t>
  </si>
  <si>
    <t>P36</t>
  </si>
  <si>
    <t>¿Qué partido es el que está más capacitado para defender la industria vasca?</t>
  </si>
  <si>
    <t>defender la industria vasca</t>
  </si>
  <si>
    <t>P37</t>
  </si>
  <si>
    <t>¿Qué partido es el que está más capacitado para crear empleo de calidad?</t>
  </si>
  <si>
    <t>crear empleo de calidad</t>
  </si>
  <si>
    <t>P38</t>
  </si>
  <si>
    <t>¿Qué partido es el que está más capacitado para proteger a los más vulnerables?</t>
  </si>
  <si>
    <t>proteger a los más vulnerables</t>
  </si>
  <si>
    <t>P39</t>
  </si>
  <si>
    <t>Indica tu grado de acuerdo con la siguiente frase</t>
  </si>
  <si>
    <t>"Hay una ofensiva judicial contra el euskera"</t>
  </si>
  <si>
    <t>P40</t>
  </si>
  <si>
    <t>"Es necesario modificar la ley de empleo público para proteger el actual modelo lingüístico"</t>
  </si>
  <si>
    <t>P41</t>
  </si>
  <si>
    <t>"Hay que avanzar hacia la universalización del euskera en la administración pública"</t>
  </si>
  <si>
    <t>P42</t>
  </si>
  <si>
    <t>"Habría que igualar el castellano y el euskera de forma flexible y progresiva teniendo en cuenta la situación sociolingüística de cada lugar"</t>
  </si>
  <si>
    <t>P43</t>
  </si>
  <si>
    <t>¿Cuál de las siguientes afirmaciones sobre los requisitos lingüísticos del empleo público coincide más con tu punto de vista?</t>
  </si>
  <si>
    <t>P44</t>
  </si>
  <si>
    <t>En relación con el sentimiento nacionalista vasco, ¿dónde te colocarías en una escala de 0 (mínimo nacionalismo vasco) a 10 (máximo nacionalismo vasco)?</t>
  </si>
  <si>
    <t>Tú (población)</t>
  </si>
  <si>
    <t>P45</t>
  </si>
  <si>
    <t>En la misma escala de sentimiento nacionalista vasco de 0 (mínimo) a 10 (máximo), ¿dónde colocarías a este partido?</t>
  </si>
  <si>
    <t>PNV/EAJ</t>
  </si>
  <si>
    <t>P46</t>
  </si>
  <si>
    <t>EH Bildu</t>
  </si>
  <si>
    <t>P47</t>
  </si>
  <si>
    <t>PSE-EE (PSOE)</t>
  </si>
  <si>
    <t>P48</t>
  </si>
  <si>
    <t>Elkarrekin Podemos</t>
  </si>
  <si>
    <t>P49</t>
  </si>
  <si>
    <t>Sumar</t>
  </si>
  <si>
    <t>P50</t>
  </si>
  <si>
    <t>PP</t>
  </si>
  <si>
    <t>P51</t>
  </si>
  <si>
    <t>Vox</t>
  </si>
  <si>
    <t>P52</t>
  </si>
  <si>
    <t>Cuando se habla de política se utilizan normalmente las expresiones "izquierda" y "derecha". ¿Dónde te colocas en una escala de 0 (extrema izquierda) a 10 (extrema derecha)?</t>
  </si>
  <si>
    <t>P53</t>
  </si>
  <si>
    <t>En la misma escala ideológica de 0 (extrema izquierda) a 10 (extrema derecha), ¿dónde colocarías a este partido o coalición?</t>
  </si>
  <si>
    <t>P54</t>
  </si>
  <si>
    <t>P55</t>
  </si>
  <si>
    <t>P56</t>
  </si>
  <si>
    <t>P57</t>
  </si>
  <si>
    <t>P58</t>
  </si>
  <si>
    <t>P59</t>
  </si>
  <si>
    <t>B6 Geopolítica</t>
  </si>
  <si>
    <t>Si hoy tuvieras que señalar a los aliados y los enemigos de Euskadi, ¿dónde ubicarías a Francia?</t>
  </si>
  <si>
    <t>Francia</t>
  </si>
  <si>
    <t>Si hoy tuvieras que señalar a los aliados y los enemigos de Euskadi, ¿dónde ubicarías a Palestina?</t>
  </si>
  <si>
    <t>Palestina</t>
  </si>
  <si>
    <t>Si hoy tuvieras que señalar a los aliados y los enemigos de Euskadi, ¿dónde ubicarías a Ucrania?</t>
  </si>
  <si>
    <t>Ucrania</t>
  </si>
  <si>
    <t>Si hoy tuvieras que señalar a los aliados y los enemigos de Euskadi, ¿dónde ubicarías a Italia?</t>
  </si>
  <si>
    <t>Italia</t>
  </si>
  <si>
    <t>Si hoy tuvieras que señalar a los aliados y los enemigos de Euskadi, ¿dónde ubicarías a México?</t>
  </si>
  <si>
    <t>México</t>
  </si>
  <si>
    <t>Si hoy tuvieras que señalar a los aliados y los enemigos de Euskadi, ¿dónde ubicarías a Reino Unido?</t>
  </si>
  <si>
    <t>Reino Unido</t>
  </si>
  <si>
    <t>Si hoy tuvieras que señalar a los aliados y los enemigos de Euskadi, ¿dónde ubicarías a Argentina?</t>
  </si>
  <si>
    <t>Argentina</t>
  </si>
  <si>
    <t>Si hoy tuvieras que señalar a los aliados y los enemigos de Euskadi, ¿dónde ubicarías a China?</t>
  </si>
  <si>
    <t>China</t>
  </si>
  <si>
    <t>Si hoy tuvieras que señalar a los aliados y los enemigos de Euskadi, ¿dónde ubicarías a Hungría?</t>
  </si>
  <si>
    <t>Hungría</t>
  </si>
  <si>
    <t>Si hoy tuvieras que señalar a los aliados y los enemigos de Euskadi, ¿dónde ubicarías a Irán?</t>
  </si>
  <si>
    <t>Irán</t>
  </si>
  <si>
    <t>Si hoy tuvieras que señalar a los aliados y los enemigos de Euskadi, ¿dónde ubicarías a Estados Unidos?</t>
  </si>
  <si>
    <t>Estados Unidos</t>
  </si>
  <si>
    <t>Si hoy tuvieras que señalar a los aliados y los enemigos de Euskadi, ¿dónde ubicarías a Rusia?</t>
  </si>
  <si>
    <t>Rusia</t>
  </si>
  <si>
    <t>Si hoy tuvieras que señalar a los aliados y los enemigos de Euskadi, ¿dónde ubicarías a Corea del Norte?</t>
  </si>
  <si>
    <t>Corea del Norte</t>
  </si>
  <si>
    <t>Si hoy tuvieras que señalar a los aliados y los enemigos de Euskadi, ¿dónde ubicarías a Israel?</t>
  </si>
  <si>
    <t>Israel</t>
  </si>
  <si>
    <t>¿Cómo crees que la guerra en Oriente Medio (entre EEUU, Israel, Líbano e Irán) puede afectar a la economía española?</t>
  </si>
  <si>
    <t>la economía española</t>
  </si>
  <si>
    <t>¿Cómo crees que la guerra en Oriente Medio (entre EEUU, Israel, Líbano e Irán) puede afectar a la economía europea?</t>
  </si>
  <si>
    <t>la economía europea</t>
  </si>
  <si>
    <t>¿Cómo crees que la guerra en Oriente Medio (entre EEUU, Israel, Líbano e Irán) puede afectar a la economía vasca?</t>
  </si>
  <si>
    <t>la economía vasca</t>
  </si>
  <si>
    <t>¿Cómo crees que la guerra en Oriente Medio (entre EEUU, Israel, Líbano e Irán) puede afectar a la economía de tu hogar?</t>
  </si>
  <si>
    <t>la economía de tu hogar</t>
  </si>
  <si>
    <t>¿Crees que las medidas que ha tomado o que puede tomar Donald Trump tienen o podrían tener un impacto personal negativo en los precios de la energía que consumes?</t>
  </si>
  <si>
    <t>los precios de la energía que consumes</t>
  </si>
  <si>
    <t>¿Crees que las medidas que ha tomado o que puede tomar Donald Trump tienen o podrían tener un impacto personal negativo en tu cesta de la compra?</t>
  </si>
  <si>
    <t>tu cesta de la compra</t>
  </si>
  <si>
    <t>¿Crees que las medidas que ha tomado o que puede tomar Donald Trump tienen o podrían tener un impacto personal negativo en tu espacio laboral?</t>
  </si>
  <si>
    <t>tu espacio laboral</t>
  </si>
  <si>
    <t>¿Cuáles crees que son las principales amenazas que tenemos como país europeo? Señala las dos más importantes para ti.</t>
  </si>
  <si>
    <t>¿Qué papel crees que deben tener las potencias mundiales en conflictos internacionales? Marca todas las que consideres.</t>
  </si>
  <si>
    <t>¿Cuáles de las siguientes medidas crees que se deberían utilizar para acabar con regímenes autoritarios que violan derechos fundamentales de su ciudadanía? Marca todas las que consideres.</t>
  </si>
  <si>
    <t>Nº preguntas con DAM</t>
  </si>
  <si>
    <t>DAM media (p.p.)</t>
  </si>
  <si>
    <t>GLOBAL</t>
  </si>
  <si>
    <t>DAM = desviación absoluta media (p.p.) frente al Deustobarómetro verano 2026. Panel sintético: 1.000 Personas (Haiku).</t>
  </si>
  <si>
    <t>Verde &lt;10 p.p. · Ámbar 10–20 · Rojo ≥20. "—": batería de solo-media (sin DAM de distribución).</t>
  </si>
  <si>
    <t>Encuesta</t>
  </si>
  <si>
    <t>Ámbito</t>
  </si>
  <si>
    <t>¿4 dominios en una?</t>
  </si>
  <si>
    <t>Microdatos</t>
  </si>
  <si>
    <t>Muestra vasca</t>
  </si>
  <si>
    <t>ESS</t>
  </si>
  <si>
    <t>Europa/España</t>
  </si>
  <si>
    <t>Sí (incl. módulo bienestar)</t>
  </si>
  <si>
    <t>Gratis, con registro</t>
  </si>
  <si>
    <t>Pequeña</t>
  </si>
  <si>
    <t>Sociómetro Vasco</t>
  </si>
  <si>
    <t>País Vasco</t>
  </si>
  <si>
    <t>Casi (política+medios+calidad vida+socio)</t>
  </si>
  <si>
    <t>Fichero descargable</t>
  </si>
  <si>
    <t>Buena</t>
  </si>
  <si>
    <t>CIS barómetros</t>
  </si>
  <si>
    <t>España</t>
  </si>
  <si>
    <t>No (dominios en estudios ≠)</t>
  </si>
  <si>
    <t>Abiertos</t>
  </si>
  <si>
    <t>Pequeña por ola</t>
  </si>
  <si>
    <t>Euskobarómetro</t>
  </si>
  <si>
    <t>No (sobre todo política)</t>
  </si>
  <si>
    <t>Restringido</t>
  </si>
  <si>
    <t>Eustat EPDS</t>
  </si>
  <si>
    <t>No (bienestar/economía)</t>
  </si>
  <si>
    <t>Bajo petición</t>
  </si>
  <si>
    <t>Variables</t>
  </si>
  <si>
    <t>Deusto Barometro</t>
  </si>
  <si>
    <t>sexo, edad, tamaño ciudad, provinica, estudios</t>
  </si>
  <si>
    <t>Tamaño muesrta</t>
  </si>
  <si>
    <t>PERFIL PERSONAL:</t>
  </si>
  <si>
    <t>- Género: Mujer</t>
  </si>
  <si>
    <t>- Estudios: Bachillerato/FP</t>
  </si>
  <si>
    <t>- Situación laboral: Trabaja</t>
  </si>
  <si>
    <t>- Clase social: Media-alta (A2)</t>
  </si>
  <si>
    <t>- Religión: Ateo/a</t>
  </si>
  <si>
    <t>- Nacimiento: En el País Vasco</t>
  </si>
  <si>
    <t>PERFIL LINGUÍSTICO:</t>
  </si>
  <si>
    <t>- Competencia en euskera: Ia euskaldun (medio)</t>
  </si>
  <si>
    <t>- Idioma preferido: Castellano</t>
  </si>
  <si>
    <t>PERFIL POLÍTICO:</t>
  </si>
  <si>
    <t>- Voto autonómicas 2024: PSE</t>
  </si>
  <si>
    <t>- Preferencia territorial: Me gustaría que el País Vasco tuviera más autonomía que en la actualidad Ideología: 3/10 (1=izq, 10=dcha). Sentimiento nacionalista vasco: 7/10.</t>
  </si>
  <si>
    <t>- Valoración de la economía vasca: Buena</t>
  </si>
  <si>
    <t>- Valoración de la situación política: Regular</t>
  </si>
  <si>
    <t>- Principales preocupaciones: Recortes en servicios públicos, Vivienda, Subida de precios</t>
  </si>
  <si>
    <t>PERFIL MEDIÁTICO:</t>
  </si>
  <si>
    <t>- Medio principal noticias: Televisión</t>
  </si>
  <si>
    <t>- Redes sociales que usa: Facebook, WhatsApp, YouTube, TikTok</t>
  </si>
  <si>
    <t>- Motivo principal RRSS: Relacionarse con amigos/as</t>
  </si>
  <si>
    <t>- Confianza medios (general/TV/radio/RRSS): 8/10/?/5 (0-10)</t>
  </si>
  <si>
    <t>- Desinformación en RRSS/WhatsApp: Alguna/Alguna</t>
  </si>
  <si>
    <t>- Postura desinformación: A favor de controlar la desinformación aunque limite la libertad</t>
  </si>
  <si>
    <t>- Detecta noticias falsas: Cree que sí</t>
  </si>
  <si>
    <t>- Interés política: Poco interesado/a</t>
  </si>
  <si>
    <t>- Sigue influencers: No</t>
  </si>
  <si>
    <t>PERFIL DE BIENESTAR:</t>
  </si>
  <si>
    <t>- Salud autopercibida: Buena</t>
  </si>
  <si>
    <t>- Estado emocional: Bastante positivo</t>
  </si>
  <si>
    <t>- Satisfacción vital (0-10): 10</t>
  </si>
  <si>
    <t>- Control de la propia vida (0-10): 10</t>
  </si>
  <si>
    <t>- Satisfacción relaciones personales (0-10): 8</t>
  </si>
  <si>
    <t>- Situación económica personal (0-10): 8</t>
  </si>
  <si>
    <t>- Actividad física: Nunca</t>
  </si>
  <si>
    <t>- Sentimiento de soledad: Nunca/casi nunca</t>
  </si>
  <si>
    <t>- Contacto social: Varias veces por semana</t>
  </si>
  <si>
    <t>- Preocupación cambio climático: Bastante</t>
  </si>
  <si>
    <t>- Sentido de pertenencia a la comunidad: Totalmente de acuerdo</t>
  </si>
  <si>
    <t>- La cultura está presente en mi vida: Totalmente de acuerdo</t>
  </si>
  <si>
    <t>LURRALDEA / TERRITORIO</t>
  </si>
  <si>
    <t>TELEFONOA / TELÉFONO</t>
  </si>
  <si>
    <t>SEXUA / SEXO</t>
  </si>
  <si>
    <t>ENCUESTA: Consumo y confianza en medios de comunicación, contenidos digitales y redes sociales (GV 2026)</t>
  </si>
  <si>
    <t>Lurraldea / Territorio</t>
  </si>
  <si>
    <t>Telefonoa / Teléfono</t>
  </si>
  <si>
    <t>Sexua / Sexo</t>
  </si>
  <si>
    <t>ENCUESTA: DEUSTO BAROMETRO</t>
  </si>
  <si>
    <t>ENCUESTA: SOCIOMETRO VASCO 2026 (GV)</t>
  </si>
  <si>
    <t>Sexo del entrevistado</t>
  </si>
  <si>
    <t>Edad numérica</t>
  </si>
  <si>
    <t>Edad agrupada</t>
  </si>
  <si>
    <t>Tamaño de hábitat</t>
  </si>
  <si>
    <t>Provincia</t>
  </si>
  <si>
    <t>Nivel educativo del encuestado</t>
  </si>
  <si>
    <t>¿En cuál de las siguientes situaciones te encuentras tú actualmente?</t>
  </si>
  <si>
    <t>Clase social</t>
  </si>
  <si>
    <t xml:space="preserve"> ¿PREFIERE UD. CONTESTAR LA ENCUESTA EN EUSKERA O EN CASTELLANO?</t>
  </si>
  <si>
    <t xml:space="preserve"> ¿EN QUÉ MUNICIPIO VIVE UD.?</t>
  </si>
  <si>
    <t xml:space="preserve"> ¿ME PODRÍA DECIR, POR FAVOR, CUÁNTOS AÑOS TIENE UD.?</t>
  </si>
  <si>
    <t xml:space="preserve"> ¿CUÁL ES SU SITUACIÓN LABORAL ACTUAL?</t>
  </si>
  <si>
    <t>CÓMO HABLA EN EUSKERA: BIEN, BASTANTE BIEN, ALGO, SABE PALABRAS O NADA?</t>
  </si>
  <si>
    <t>¿EN QUÉ MEDIDA ESTÁ UD. INTERESADO/A EN LA POLITICA?</t>
  </si>
  <si>
    <t>¿QUÉ ESTUDIOS HA FINALIZADO?</t>
  </si>
  <si>
    <t>¿EN QUÉ CLASE SOCIAL SE SITUARÍA UD.?</t>
  </si>
  <si>
    <t>¿EN QUÉ PROVINCIA NACIÓ UD.?</t>
  </si>
  <si>
    <t xml:space="preserve"> Circunscripción electoral</t>
  </si>
  <si>
    <t>¿Prefiere Ud. contestar la encuesta en euskera o en castellano?</t>
  </si>
  <si>
    <t>¿En qué municipio vive Ud.?</t>
  </si>
  <si>
    <t xml:space="preserve"> ¿Me podría decir, por favor, cuántos años tiene Ud.?</t>
  </si>
  <si>
    <t xml:space="preserve"> ¿Cuál es su situación laboral actual?</t>
  </si>
  <si>
    <t>¿Cómo habla en euskera: bien, bastante bien, algo, sabe palabras o nada?</t>
  </si>
  <si>
    <t xml:space="preserve"> ¿Qué estudios ha finalizado?</t>
  </si>
  <si>
    <t>¿En qué clase social se situaría Ud.?</t>
  </si>
  <si>
    <t xml:space="preserve"> ¿En qué provincia nació Ud.?</t>
  </si>
  <si>
    <t>ENCUESTA: Europan Social Survey (ESS)</t>
  </si>
  <si>
    <t>¿Cuál de las frases que aparecen en esta tarjeta describe mejor el lugar donde vive?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</si>
</sst>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777777"/>
      <name val="Arial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  <charset val="1"/>
    </font>
    <font>
      <sz val="9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C6EFCE"/>
        <bgColor rgb="FFE1F5EE"/>
      </patternFill>
    </fill>
    <fill>
      <patternFill patternType="solid">
        <fgColor rgb="FFF4CCCC"/>
        <bgColor rgb="FFD9D9D9"/>
      </patternFill>
    </fill>
    <fill>
      <patternFill patternType="solid">
        <fgColor rgb="FFFFEB9C"/>
        <bgColor rgb="FFF4CCCC"/>
      </patternFill>
    </fill>
    <fill>
      <patternFill patternType="solid">
        <fgColor rgb="FFF2F2F2"/>
        <bgColor rgb="FFE1F5EE"/>
      </patternFill>
    </fill>
    <fill>
      <patternFill patternType="solid">
        <fgColor rgb="FFE1F5EE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164" fontId="2" fillId="3" borderId="1" xfId="0" applyNumberFormat="1" applyFont="1" applyFill="1" applyBorder="1" applyAlignment="1">
      <alignment horizontal="center" vertical="top"/>
    </xf>
    <xf numFmtId="164" fontId="2" fillId="4" borderId="1" xfId="0" applyNumberFormat="1" applyFont="1" applyFill="1" applyBorder="1" applyAlignment="1">
      <alignment horizontal="center" vertical="top"/>
    </xf>
    <xf numFmtId="164" fontId="2" fillId="5" borderId="1" xfId="0" applyNumberFormat="1" applyFont="1" applyFill="1" applyBorder="1" applyAlignment="1">
      <alignment horizontal="center" vertical="top"/>
    </xf>
    <xf numFmtId="164" fontId="2" fillId="6" borderId="1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8" borderId="0" xfId="0" applyFont="1" applyFill="1" applyAlignment="1">
      <alignment vertical="center"/>
    </xf>
    <xf numFmtId="0" fontId="0" fillId="0" borderId="0" xfId="0" applyAlignment="1">
      <alignment wrapText="1"/>
    </xf>
    <xf numFmtId="0" fontId="6" fillId="0" borderId="0" xfId="1" applyAlignment="1">
      <alignment wrapText="1"/>
    </xf>
    <xf numFmtId="0" fontId="7" fillId="0" borderId="0" xfId="0" applyFont="1" applyAlignment="1">
      <alignment wrapText="1"/>
    </xf>
    <xf numFmtId="0" fontId="6" fillId="0" borderId="0" xfId="1"/>
    <xf numFmtId="0" fontId="7" fillId="0" borderId="0" xfId="0" applyFont="1"/>
    <xf numFmtId="0" fontId="7" fillId="8" borderId="0" xfId="0" applyFont="1" applyFill="1" applyAlignment="1">
      <alignment wrapText="1"/>
    </xf>
    <xf numFmtId="0" fontId="7" fillId="8" borderId="0" xfId="0" applyFont="1" applyFill="1"/>
    <xf numFmtId="0" fontId="7" fillId="9" borderId="0" xfId="0" applyFont="1" applyFill="1" applyAlignment="1">
      <alignment wrapText="1"/>
    </xf>
    <xf numFmtId="0" fontId="7" fillId="10" borderId="0" xfId="0" applyFont="1" applyFill="1" applyAlignment="1">
      <alignment wrapText="1"/>
    </xf>
    <xf numFmtId="0" fontId="7" fillId="11" borderId="0" xfId="0" applyFont="1" applyFill="1" applyAlignment="1">
      <alignment wrapText="1"/>
    </xf>
    <xf numFmtId="0" fontId="7" fillId="12" borderId="0" xfId="0" applyFont="1" applyFill="1" applyAlignment="1">
      <alignment wrapText="1"/>
    </xf>
    <xf numFmtId="0" fontId="7" fillId="13" borderId="0" xfId="0" applyFont="1" applyFill="1" applyAlignment="1">
      <alignment wrapText="1"/>
    </xf>
    <xf numFmtId="0" fontId="0" fillId="13" borderId="0" xfId="0" applyFill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2F2F2"/>
      <rgbColor rgb="FFE1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D5C25E-5D5A-41C5-B28A-AD24421F7535}" name="TablaEncuestas" displayName="TablaEncuestas" ref="A1:G7" totalsRowShown="0">
  <autoFilter ref="A1:G7" xr:uid="{0BD5C25E-5D5A-41C5-B28A-AD24421F7535}"/>
  <tableColumns count="7">
    <tableColumn id="1" xr3:uid="{9CF120F1-1858-40EC-A682-E68510A85E20}" name="Encuesta"/>
    <tableColumn id="2" xr3:uid="{96CF63DF-01F1-4759-82B4-16BAF5C7C28B}" name="Ámbito"/>
    <tableColumn id="3" xr3:uid="{7B02A710-CCE1-4389-A860-4E86AC939659}" name="¿4 dominios en una?"/>
    <tableColumn id="4" xr3:uid="{7DFC0C70-B62B-40BB-B503-06A8A9E71D3D}" name="Microdatos"/>
    <tableColumn id="5" xr3:uid="{65F863FF-EFAD-4EAB-B8C8-AC0DA434C8DE}" name="Muestra vasca"/>
    <tableColumn id="6" xr3:uid="{355E2823-03E3-49CF-8FF3-CA777544FC8F}" name="Variables"/>
    <tableColumn id="7" xr3:uid="{6369C5EC-6CE5-4E3E-80A5-D82A78CF648F}" name="Tamaño muesr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89D998E-17D7-4C26-9D05-E32504BF9C9D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9c62da5c-cc18-41ab-baf0-f3ee902a8639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ess.sikt.no/en/country/321b06ad-1b98-4b7d-93ad-ca8a24e8788a/es/" TargetMode="External"/><Relationship Id="rId2" Type="http://schemas.openxmlformats.org/officeDocument/2006/relationships/hyperlink" Target="https://www.euskadi.eus/sociometro-vasco-89/web01-s1lehike/es/" TargetMode="External"/><Relationship Id="rId1" Type="http://schemas.openxmlformats.org/officeDocument/2006/relationships/hyperlink" Target="https://www.euskadi.eus/informes-estudios/25medios-de-comunicacion/web01-s1lehike/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24" customWidth="1"/>
    <col min="2" max="2" width="6" customWidth="1"/>
    <col min="3" max="3" width="70" customWidth="1"/>
    <col min="4" max="4" width="34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5" x14ac:dyDescent="0.25">
      <c r="A2" s="2" t="s">
        <v>5</v>
      </c>
      <c r="B2" s="3" t="s">
        <v>6</v>
      </c>
      <c r="C2" s="4" t="s">
        <v>7</v>
      </c>
      <c r="D2" s="2"/>
      <c r="E2" s="5">
        <v>4.8</v>
      </c>
    </row>
    <row r="3" spans="1:5" x14ac:dyDescent="0.25">
      <c r="A3" s="2" t="s">
        <v>5</v>
      </c>
      <c r="B3" s="3" t="s">
        <v>8</v>
      </c>
      <c r="C3" s="4" t="s">
        <v>9</v>
      </c>
      <c r="D3" s="2"/>
      <c r="E3" s="5">
        <v>0.7</v>
      </c>
    </row>
    <row r="4" spans="1:5" ht="25.5" x14ac:dyDescent="0.25">
      <c r="A4" s="2" t="s">
        <v>5</v>
      </c>
      <c r="B4" s="3" t="s">
        <v>10</v>
      </c>
      <c r="C4" s="4" t="s">
        <v>11</v>
      </c>
      <c r="D4" s="2"/>
      <c r="E4" s="6">
        <v>22.7</v>
      </c>
    </row>
    <row r="5" spans="1:5" ht="25.5" x14ac:dyDescent="0.25">
      <c r="A5" s="2" t="s">
        <v>5</v>
      </c>
      <c r="B5" s="3" t="s">
        <v>12</v>
      </c>
      <c r="C5" s="4" t="s">
        <v>13</v>
      </c>
      <c r="D5" s="2" t="s">
        <v>14</v>
      </c>
      <c r="E5" s="7">
        <v>15.1</v>
      </c>
    </row>
    <row r="6" spans="1:5" ht="25.5" x14ac:dyDescent="0.25">
      <c r="A6" s="2" t="s">
        <v>5</v>
      </c>
      <c r="B6" s="3" t="s">
        <v>15</v>
      </c>
      <c r="C6" s="4" t="s">
        <v>13</v>
      </c>
      <c r="D6" s="2" t="s">
        <v>16</v>
      </c>
      <c r="E6" s="5">
        <v>9.9</v>
      </c>
    </row>
    <row r="7" spans="1:5" ht="25.5" x14ac:dyDescent="0.25">
      <c r="A7" s="2" t="s">
        <v>5</v>
      </c>
      <c r="B7" s="3" t="s">
        <v>17</v>
      </c>
      <c r="C7" s="4" t="s">
        <v>13</v>
      </c>
      <c r="D7" s="2" t="s">
        <v>18</v>
      </c>
      <c r="E7" s="7">
        <v>18.3</v>
      </c>
    </row>
    <row r="8" spans="1:5" ht="25.5" x14ac:dyDescent="0.25">
      <c r="A8" s="2" t="s">
        <v>5</v>
      </c>
      <c r="B8" s="3" t="s">
        <v>19</v>
      </c>
      <c r="C8" s="4" t="s">
        <v>13</v>
      </c>
      <c r="D8" s="2" t="s">
        <v>20</v>
      </c>
      <c r="E8" s="5">
        <v>7.1</v>
      </c>
    </row>
    <row r="9" spans="1:5" ht="25.5" x14ac:dyDescent="0.25">
      <c r="A9" s="2" t="s">
        <v>5</v>
      </c>
      <c r="B9" s="3" t="s">
        <v>21</v>
      </c>
      <c r="C9" s="4" t="s">
        <v>13</v>
      </c>
      <c r="D9" s="2" t="s">
        <v>22</v>
      </c>
      <c r="E9" s="5">
        <v>5.4</v>
      </c>
    </row>
    <row r="10" spans="1:5" ht="25.5" x14ac:dyDescent="0.25">
      <c r="A10" s="2" t="s">
        <v>5</v>
      </c>
      <c r="B10" s="3" t="s">
        <v>23</v>
      </c>
      <c r="C10" s="4" t="s">
        <v>13</v>
      </c>
      <c r="D10" s="2" t="s">
        <v>24</v>
      </c>
      <c r="E10" s="5">
        <v>8.9</v>
      </c>
    </row>
    <row r="11" spans="1:5" ht="25.5" x14ac:dyDescent="0.25">
      <c r="A11" s="2" t="s">
        <v>5</v>
      </c>
      <c r="B11" s="3" t="s">
        <v>25</v>
      </c>
      <c r="C11" s="4" t="s">
        <v>13</v>
      </c>
      <c r="D11" s="2" t="s">
        <v>26</v>
      </c>
      <c r="E11" s="5">
        <v>9.1999999999999993</v>
      </c>
    </row>
    <row r="12" spans="1:5" ht="25.5" x14ac:dyDescent="0.25">
      <c r="A12" s="2" t="s">
        <v>5</v>
      </c>
      <c r="B12" s="3" t="s">
        <v>27</v>
      </c>
      <c r="C12" s="4" t="s">
        <v>13</v>
      </c>
      <c r="D12" s="2" t="s">
        <v>28</v>
      </c>
      <c r="E12" s="7">
        <v>10.5</v>
      </c>
    </row>
    <row r="13" spans="1:5" ht="25.5" x14ac:dyDescent="0.25">
      <c r="A13" s="2" t="s">
        <v>5</v>
      </c>
      <c r="B13" s="3" t="s">
        <v>29</v>
      </c>
      <c r="C13" s="4" t="s">
        <v>13</v>
      </c>
      <c r="D13" s="2" t="s">
        <v>30</v>
      </c>
      <c r="E13" s="5">
        <v>5.3</v>
      </c>
    </row>
    <row r="14" spans="1:5" ht="25.5" x14ac:dyDescent="0.25">
      <c r="A14" s="2" t="s">
        <v>5</v>
      </c>
      <c r="B14" s="3" t="s">
        <v>31</v>
      </c>
      <c r="C14" s="4" t="s">
        <v>13</v>
      </c>
      <c r="D14" s="2" t="s">
        <v>32</v>
      </c>
      <c r="E14" s="5">
        <v>4.7</v>
      </c>
    </row>
    <row r="15" spans="1:5" ht="25.5" x14ac:dyDescent="0.25">
      <c r="A15" s="2" t="s">
        <v>5</v>
      </c>
      <c r="B15" s="3" t="s">
        <v>33</v>
      </c>
      <c r="C15" s="4" t="s">
        <v>13</v>
      </c>
      <c r="D15" s="2" t="s">
        <v>34</v>
      </c>
      <c r="E15" s="5">
        <v>3.9</v>
      </c>
    </row>
    <row r="16" spans="1:5" ht="25.5" x14ac:dyDescent="0.25">
      <c r="A16" s="2" t="s">
        <v>5</v>
      </c>
      <c r="B16" s="3" t="s">
        <v>35</v>
      </c>
      <c r="C16" s="4" t="s">
        <v>13</v>
      </c>
      <c r="D16" s="2" t="s">
        <v>36</v>
      </c>
      <c r="E16" s="5">
        <v>6.5</v>
      </c>
    </row>
    <row r="17" spans="1:5" ht="25.5" x14ac:dyDescent="0.25">
      <c r="A17" s="2" t="s">
        <v>5</v>
      </c>
      <c r="B17" s="3" t="s">
        <v>37</v>
      </c>
      <c r="C17" s="4" t="s">
        <v>13</v>
      </c>
      <c r="D17" s="2" t="s">
        <v>38</v>
      </c>
      <c r="E17" s="5">
        <v>4</v>
      </c>
    </row>
    <row r="18" spans="1:5" ht="25.5" x14ac:dyDescent="0.25">
      <c r="A18" s="2" t="s">
        <v>5</v>
      </c>
      <c r="B18" s="3" t="s">
        <v>39</v>
      </c>
      <c r="C18" s="4" t="s">
        <v>40</v>
      </c>
      <c r="D18" s="2" t="s">
        <v>41</v>
      </c>
      <c r="E18" s="7">
        <v>11.8</v>
      </c>
    </row>
    <row r="19" spans="1:5" ht="25.5" x14ac:dyDescent="0.25">
      <c r="A19" s="2" t="s">
        <v>5</v>
      </c>
      <c r="B19" s="3" t="s">
        <v>42</v>
      </c>
      <c r="C19" s="4" t="s">
        <v>40</v>
      </c>
      <c r="D19" s="2" t="s">
        <v>43</v>
      </c>
      <c r="E19" s="7">
        <v>18</v>
      </c>
    </row>
    <row r="20" spans="1:5" ht="25.5" x14ac:dyDescent="0.25">
      <c r="A20" s="2" t="s">
        <v>5</v>
      </c>
      <c r="B20" s="3" t="s">
        <v>44</v>
      </c>
      <c r="C20" s="4" t="s">
        <v>40</v>
      </c>
      <c r="D20" s="2" t="s">
        <v>45</v>
      </c>
      <c r="E20" s="7">
        <v>15.3</v>
      </c>
    </row>
    <row r="21" spans="1:5" ht="25.5" x14ac:dyDescent="0.25">
      <c r="A21" s="2" t="s">
        <v>5</v>
      </c>
      <c r="B21" s="3" t="s">
        <v>46</v>
      </c>
      <c r="C21" s="4" t="s">
        <v>40</v>
      </c>
      <c r="D21" s="2" t="s">
        <v>47</v>
      </c>
      <c r="E21" s="7">
        <v>18.8</v>
      </c>
    </row>
    <row r="22" spans="1:5" ht="25.5" x14ac:dyDescent="0.25">
      <c r="A22" s="2" t="s">
        <v>5</v>
      </c>
      <c r="B22" s="3" t="s">
        <v>48</v>
      </c>
      <c r="C22" s="4" t="s">
        <v>40</v>
      </c>
      <c r="D22" s="2" t="s">
        <v>49</v>
      </c>
      <c r="E22" s="7">
        <v>14.1</v>
      </c>
    </row>
    <row r="23" spans="1:5" ht="25.5" x14ac:dyDescent="0.25">
      <c r="A23" s="2" t="s">
        <v>5</v>
      </c>
      <c r="B23" s="3" t="s">
        <v>50</v>
      </c>
      <c r="C23" s="4" t="s">
        <v>40</v>
      </c>
      <c r="D23" s="2" t="s">
        <v>51</v>
      </c>
      <c r="E23" s="7">
        <v>13.6</v>
      </c>
    </row>
    <row r="24" spans="1:5" ht="25.5" x14ac:dyDescent="0.25">
      <c r="A24" s="2" t="s">
        <v>5</v>
      </c>
      <c r="B24" s="3" t="s">
        <v>52</v>
      </c>
      <c r="C24" s="4" t="s">
        <v>40</v>
      </c>
      <c r="D24" s="2" t="s">
        <v>53</v>
      </c>
      <c r="E24" s="6">
        <v>22</v>
      </c>
    </row>
    <row r="25" spans="1:5" ht="25.5" x14ac:dyDescent="0.25">
      <c r="A25" s="2" t="s">
        <v>5</v>
      </c>
      <c r="B25" s="3" t="s">
        <v>54</v>
      </c>
      <c r="C25" s="4" t="s">
        <v>40</v>
      </c>
      <c r="D25" s="2" t="s">
        <v>55</v>
      </c>
      <c r="E25" s="7">
        <v>11.9</v>
      </c>
    </row>
    <row r="26" spans="1:5" ht="25.5" x14ac:dyDescent="0.25">
      <c r="A26" s="2" t="s">
        <v>5</v>
      </c>
      <c r="B26" s="3" t="s">
        <v>56</v>
      </c>
      <c r="C26" s="4" t="s">
        <v>57</v>
      </c>
      <c r="D26" s="2"/>
      <c r="E26" s="5">
        <v>7.6</v>
      </c>
    </row>
    <row r="27" spans="1:5" ht="25.5" x14ac:dyDescent="0.25">
      <c r="A27" s="2" t="s">
        <v>58</v>
      </c>
      <c r="B27" s="3" t="s">
        <v>6</v>
      </c>
      <c r="C27" s="4" t="s">
        <v>59</v>
      </c>
      <c r="D27" s="2" t="s">
        <v>60</v>
      </c>
      <c r="E27" s="8" t="s">
        <v>61</v>
      </c>
    </row>
    <row r="28" spans="1:5" ht="25.5" x14ac:dyDescent="0.25">
      <c r="A28" s="2" t="s">
        <v>58</v>
      </c>
      <c r="B28" s="3" t="s">
        <v>8</v>
      </c>
      <c r="C28" s="4" t="s">
        <v>59</v>
      </c>
      <c r="D28" s="2" t="s">
        <v>62</v>
      </c>
      <c r="E28" s="8" t="s">
        <v>61</v>
      </c>
    </row>
    <row r="29" spans="1:5" ht="25.5" x14ac:dyDescent="0.25">
      <c r="A29" s="2" t="s">
        <v>58</v>
      </c>
      <c r="B29" s="3" t="s">
        <v>10</v>
      </c>
      <c r="C29" s="4" t="s">
        <v>59</v>
      </c>
      <c r="D29" s="2" t="s">
        <v>63</v>
      </c>
      <c r="E29" s="8" t="s">
        <v>61</v>
      </c>
    </row>
    <row r="30" spans="1:5" ht="25.5" x14ac:dyDescent="0.25">
      <c r="A30" s="2" t="s">
        <v>58</v>
      </c>
      <c r="B30" s="3" t="s">
        <v>12</v>
      </c>
      <c r="C30" s="4" t="s">
        <v>59</v>
      </c>
      <c r="D30" s="2" t="s">
        <v>64</v>
      </c>
      <c r="E30" s="8" t="s">
        <v>61</v>
      </c>
    </row>
    <row r="31" spans="1:5" ht="25.5" x14ac:dyDescent="0.25">
      <c r="A31" s="2" t="s">
        <v>58</v>
      </c>
      <c r="B31" s="3" t="s">
        <v>15</v>
      </c>
      <c r="C31" s="4" t="s">
        <v>59</v>
      </c>
      <c r="D31" s="2" t="s">
        <v>65</v>
      </c>
      <c r="E31" s="8" t="s">
        <v>61</v>
      </c>
    </row>
    <row r="32" spans="1:5" ht="25.5" x14ac:dyDescent="0.25">
      <c r="A32" s="2" t="s">
        <v>58</v>
      </c>
      <c r="B32" s="3" t="s">
        <v>17</v>
      </c>
      <c r="C32" s="4" t="s">
        <v>59</v>
      </c>
      <c r="D32" s="2" t="s">
        <v>66</v>
      </c>
      <c r="E32" s="8" t="s">
        <v>61</v>
      </c>
    </row>
    <row r="33" spans="1:5" ht="25.5" x14ac:dyDescent="0.25">
      <c r="A33" s="2" t="s">
        <v>58</v>
      </c>
      <c r="B33" s="3" t="s">
        <v>19</v>
      </c>
      <c r="C33" s="4" t="s">
        <v>59</v>
      </c>
      <c r="D33" s="2" t="s">
        <v>67</v>
      </c>
      <c r="E33" s="8" t="s">
        <v>61</v>
      </c>
    </row>
    <row r="34" spans="1:5" ht="25.5" x14ac:dyDescent="0.25">
      <c r="A34" s="2" t="s">
        <v>58</v>
      </c>
      <c r="B34" s="3" t="s">
        <v>21</v>
      </c>
      <c r="C34" s="4" t="s">
        <v>59</v>
      </c>
      <c r="D34" s="2" t="s">
        <v>68</v>
      </c>
      <c r="E34" s="8" t="s">
        <v>61</v>
      </c>
    </row>
    <row r="35" spans="1:5" ht="25.5" x14ac:dyDescent="0.25">
      <c r="A35" s="2" t="s">
        <v>58</v>
      </c>
      <c r="B35" s="3" t="s">
        <v>23</v>
      </c>
      <c r="C35" s="4" t="s">
        <v>59</v>
      </c>
      <c r="D35" s="2" t="s">
        <v>69</v>
      </c>
      <c r="E35" s="8" t="s">
        <v>61</v>
      </c>
    </row>
    <row r="36" spans="1:5" ht="25.5" x14ac:dyDescent="0.25">
      <c r="A36" s="2" t="s">
        <v>58</v>
      </c>
      <c r="B36" s="3" t="s">
        <v>25</v>
      </c>
      <c r="C36" s="4" t="s">
        <v>59</v>
      </c>
      <c r="D36" s="2" t="s">
        <v>70</v>
      </c>
      <c r="E36" s="8" t="s">
        <v>61</v>
      </c>
    </row>
    <row r="37" spans="1:5" ht="25.5" x14ac:dyDescent="0.25">
      <c r="A37" s="2" t="s">
        <v>58</v>
      </c>
      <c r="B37" s="3" t="s">
        <v>27</v>
      </c>
      <c r="C37" s="4" t="s">
        <v>59</v>
      </c>
      <c r="D37" s="2" t="s">
        <v>71</v>
      </c>
      <c r="E37" s="8" t="s">
        <v>61</v>
      </c>
    </row>
    <row r="38" spans="1:5" ht="25.5" x14ac:dyDescent="0.25">
      <c r="A38" s="2" t="s">
        <v>58</v>
      </c>
      <c r="B38" s="3" t="s">
        <v>29</v>
      </c>
      <c r="C38" s="4" t="s">
        <v>59</v>
      </c>
      <c r="D38" s="2" t="s">
        <v>72</v>
      </c>
      <c r="E38" s="8" t="s">
        <v>61</v>
      </c>
    </row>
    <row r="39" spans="1:5" ht="25.5" x14ac:dyDescent="0.25">
      <c r="A39" s="2" t="s">
        <v>58</v>
      </c>
      <c r="B39" s="3" t="s">
        <v>31</v>
      </c>
      <c r="C39" s="4" t="s">
        <v>59</v>
      </c>
      <c r="D39" s="2" t="s">
        <v>73</v>
      </c>
      <c r="E39" s="8" t="s">
        <v>61</v>
      </c>
    </row>
    <row r="40" spans="1:5" ht="25.5" x14ac:dyDescent="0.25">
      <c r="A40" s="2" t="s">
        <v>58</v>
      </c>
      <c r="B40" s="3" t="s">
        <v>33</v>
      </c>
      <c r="C40" s="4" t="s">
        <v>59</v>
      </c>
      <c r="D40" s="2" t="s">
        <v>74</v>
      </c>
      <c r="E40" s="8" t="s">
        <v>61</v>
      </c>
    </row>
    <row r="41" spans="1:5" ht="25.5" x14ac:dyDescent="0.25">
      <c r="A41" s="2" t="s">
        <v>58</v>
      </c>
      <c r="B41" s="3" t="s">
        <v>35</v>
      </c>
      <c r="C41" s="4" t="s">
        <v>59</v>
      </c>
      <c r="D41" s="2" t="s">
        <v>75</v>
      </c>
      <c r="E41" s="8" t="s">
        <v>61</v>
      </c>
    </row>
    <row r="42" spans="1:5" ht="25.5" x14ac:dyDescent="0.25">
      <c r="A42" s="2" t="s">
        <v>58</v>
      </c>
      <c r="B42" s="3" t="s">
        <v>37</v>
      </c>
      <c r="C42" s="4" t="s">
        <v>59</v>
      </c>
      <c r="D42" s="2" t="s">
        <v>76</v>
      </c>
      <c r="E42" s="8" t="s">
        <v>61</v>
      </c>
    </row>
    <row r="43" spans="1:5" ht="38.25" x14ac:dyDescent="0.25">
      <c r="A43" s="2" t="s">
        <v>58</v>
      </c>
      <c r="B43" s="3" t="s">
        <v>39</v>
      </c>
      <c r="C43" s="4" t="s">
        <v>77</v>
      </c>
      <c r="D43" s="2" t="s">
        <v>78</v>
      </c>
      <c r="E43" s="5">
        <v>7.7</v>
      </c>
    </row>
    <row r="44" spans="1:5" ht="38.25" x14ac:dyDescent="0.25">
      <c r="A44" s="2" t="s">
        <v>58</v>
      </c>
      <c r="B44" s="3" t="s">
        <v>42</v>
      </c>
      <c r="C44" s="4" t="s">
        <v>77</v>
      </c>
      <c r="D44" s="2" t="s">
        <v>79</v>
      </c>
      <c r="E44" s="6">
        <v>28</v>
      </c>
    </row>
    <row r="45" spans="1:5" ht="38.25" x14ac:dyDescent="0.25">
      <c r="A45" s="2" t="s">
        <v>58</v>
      </c>
      <c r="B45" s="3" t="s">
        <v>44</v>
      </c>
      <c r="C45" s="4" t="s">
        <v>77</v>
      </c>
      <c r="D45" s="2" t="s">
        <v>80</v>
      </c>
      <c r="E45" s="6">
        <v>22.8</v>
      </c>
    </row>
    <row r="46" spans="1:5" ht="38.25" x14ac:dyDescent="0.25">
      <c r="A46" s="2" t="s">
        <v>58</v>
      </c>
      <c r="B46" s="3" t="s">
        <v>46</v>
      </c>
      <c r="C46" s="4" t="s">
        <v>77</v>
      </c>
      <c r="D46" s="2" t="s">
        <v>81</v>
      </c>
      <c r="E46" s="6">
        <v>30.1</v>
      </c>
    </row>
    <row r="47" spans="1:5" ht="38.25" x14ac:dyDescent="0.25">
      <c r="A47" s="2" t="s">
        <v>58</v>
      </c>
      <c r="B47" s="3" t="s">
        <v>48</v>
      </c>
      <c r="C47" s="4" t="s">
        <v>77</v>
      </c>
      <c r="D47" s="2" t="s">
        <v>82</v>
      </c>
      <c r="E47" s="7">
        <v>17</v>
      </c>
    </row>
    <row r="48" spans="1:5" ht="38.25" x14ac:dyDescent="0.25">
      <c r="A48" s="2" t="s">
        <v>58</v>
      </c>
      <c r="B48" s="3" t="s">
        <v>50</v>
      </c>
      <c r="C48" s="4" t="s">
        <v>77</v>
      </c>
      <c r="D48" s="2" t="s">
        <v>83</v>
      </c>
      <c r="E48" s="7">
        <v>15.4</v>
      </c>
    </row>
    <row r="49" spans="1:5" ht="38.25" x14ac:dyDescent="0.25">
      <c r="A49" s="2" t="s">
        <v>58</v>
      </c>
      <c r="B49" s="3" t="s">
        <v>52</v>
      </c>
      <c r="C49" s="4" t="s">
        <v>77</v>
      </c>
      <c r="D49" s="2" t="s">
        <v>84</v>
      </c>
      <c r="E49" s="7">
        <v>16.399999999999999</v>
      </c>
    </row>
    <row r="50" spans="1:5" x14ac:dyDescent="0.25">
      <c r="A50" s="2" t="s">
        <v>58</v>
      </c>
      <c r="B50" s="3" t="s">
        <v>54</v>
      </c>
      <c r="C50" s="4" t="s">
        <v>85</v>
      </c>
      <c r="D50" s="2" t="s">
        <v>86</v>
      </c>
      <c r="E50" s="7">
        <v>12.5</v>
      </c>
    </row>
    <row r="51" spans="1:5" x14ac:dyDescent="0.25">
      <c r="A51" s="2" t="s">
        <v>58</v>
      </c>
      <c r="B51" s="3" t="s">
        <v>56</v>
      </c>
      <c r="C51" s="4" t="s">
        <v>87</v>
      </c>
      <c r="D51" s="2"/>
      <c r="E51" s="7">
        <v>11.5</v>
      </c>
    </row>
    <row r="52" spans="1:5" ht="25.5" x14ac:dyDescent="0.25">
      <c r="A52" s="2" t="s">
        <v>88</v>
      </c>
      <c r="B52" s="3" t="s">
        <v>6</v>
      </c>
      <c r="C52" s="4" t="s">
        <v>89</v>
      </c>
      <c r="D52" s="2"/>
      <c r="E52" s="6">
        <v>29.7</v>
      </c>
    </row>
    <row r="53" spans="1:5" x14ac:dyDescent="0.25">
      <c r="A53" s="2" t="s">
        <v>88</v>
      </c>
      <c r="B53" s="3" t="s">
        <v>8</v>
      </c>
      <c r="C53" s="4" t="s">
        <v>85</v>
      </c>
      <c r="D53" s="2" t="s">
        <v>90</v>
      </c>
      <c r="E53" s="7">
        <v>17.5</v>
      </c>
    </row>
    <row r="54" spans="1:5" x14ac:dyDescent="0.25">
      <c r="A54" s="2" t="s">
        <v>88</v>
      </c>
      <c r="B54" s="3" t="s">
        <v>10</v>
      </c>
      <c r="C54" s="4" t="s">
        <v>85</v>
      </c>
      <c r="D54" s="2" t="s">
        <v>91</v>
      </c>
      <c r="E54" s="6">
        <v>28.4</v>
      </c>
    </row>
    <row r="55" spans="1:5" x14ac:dyDescent="0.25">
      <c r="A55" s="2" t="s">
        <v>88</v>
      </c>
      <c r="B55" s="3" t="s">
        <v>12</v>
      </c>
      <c r="C55" s="4" t="s">
        <v>92</v>
      </c>
      <c r="D55" s="2"/>
      <c r="E55" s="5">
        <v>2.9</v>
      </c>
    </row>
    <row r="56" spans="1:5" x14ac:dyDescent="0.25">
      <c r="A56" s="2" t="s">
        <v>88</v>
      </c>
      <c r="B56" s="3" t="s">
        <v>15</v>
      </c>
      <c r="C56" s="4" t="s">
        <v>93</v>
      </c>
      <c r="D56" s="2"/>
      <c r="E56" s="6">
        <v>26.3</v>
      </c>
    </row>
    <row r="57" spans="1:5" ht="25.5" x14ac:dyDescent="0.25">
      <c r="A57" s="2" t="s">
        <v>88</v>
      </c>
      <c r="B57" s="3" t="s">
        <v>17</v>
      </c>
      <c r="C57" s="4" t="s">
        <v>94</v>
      </c>
      <c r="D57" s="2"/>
      <c r="E57" s="7">
        <v>12.7</v>
      </c>
    </row>
    <row r="58" spans="1:5" ht="25.5" x14ac:dyDescent="0.25">
      <c r="A58" s="2" t="s">
        <v>95</v>
      </c>
      <c r="B58" s="3" t="s">
        <v>6</v>
      </c>
      <c r="C58" s="4" t="s">
        <v>96</v>
      </c>
      <c r="D58" s="2"/>
      <c r="E58" s="6">
        <v>29.3</v>
      </c>
    </row>
    <row r="59" spans="1:5" ht="38.25" x14ac:dyDescent="0.25">
      <c r="A59" s="2" t="s">
        <v>95</v>
      </c>
      <c r="B59" s="3" t="s">
        <v>8</v>
      </c>
      <c r="C59" s="4" t="s">
        <v>97</v>
      </c>
      <c r="D59" s="2"/>
      <c r="E59" s="6">
        <v>23.6</v>
      </c>
    </row>
    <row r="60" spans="1:5" x14ac:dyDescent="0.25">
      <c r="A60" s="2" t="s">
        <v>98</v>
      </c>
      <c r="B60" s="3" t="s">
        <v>6</v>
      </c>
      <c r="C60" s="4" t="s">
        <v>99</v>
      </c>
      <c r="D60" s="2"/>
      <c r="E60" s="5">
        <v>0.4</v>
      </c>
    </row>
    <row r="61" spans="1:5" x14ac:dyDescent="0.25">
      <c r="A61" s="2" t="s">
        <v>98</v>
      </c>
      <c r="B61" s="3" t="s">
        <v>8</v>
      </c>
      <c r="C61" s="4" t="s">
        <v>100</v>
      </c>
      <c r="D61" s="2"/>
      <c r="E61" s="7">
        <v>12.6</v>
      </c>
    </row>
    <row r="62" spans="1:5" ht="38.25" x14ac:dyDescent="0.25">
      <c r="A62" s="2" t="s">
        <v>98</v>
      </c>
      <c r="B62" s="3" t="s">
        <v>10</v>
      </c>
      <c r="C62" s="4" t="s">
        <v>101</v>
      </c>
      <c r="D62" s="2"/>
      <c r="E62" s="5">
        <v>7.3</v>
      </c>
    </row>
    <row r="63" spans="1:5" ht="38.25" x14ac:dyDescent="0.25">
      <c r="A63" s="2" t="s">
        <v>98</v>
      </c>
      <c r="B63" s="3" t="s">
        <v>12</v>
      </c>
      <c r="C63" s="4" t="s">
        <v>102</v>
      </c>
      <c r="D63" s="2"/>
      <c r="E63" s="5">
        <v>9.1999999999999993</v>
      </c>
    </row>
    <row r="64" spans="1:5" ht="25.5" x14ac:dyDescent="0.25">
      <c r="A64" s="2" t="s">
        <v>98</v>
      </c>
      <c r="B64" s="3" t="s">
        <v>15</v>
      </c>
      <c r="C64" s="4" t="s">
        <v>103</v>
      </c>
      <c r="D64" s="2" t="s">
        <v>104</v>
      </c>
      <c r="E64" s="8" t="s">
        <v>61</v>
      </c>
    </row>
    <row r="65" spans="1:5" ht="25.5" x14ac:dyDescent="0.25">
      <c r="A65" s="2" t="s">
        <v>98</v>
      </c>
      <c r="B65" s="3" t="s">
        <v>17</v>
      </c>
      <c r="C65" s="4" t="s">
        <v>103</v>
      </c>
      <c r="D65" s="2" t="s">
        <v>105</v>
      </c>
      <c r="E65" s="8" t="s">
        <v>61</v>
      </c>
    </row>
    <row r="66" spans="1:5" ht="25.5" x14ac:dyDescent="0.25">
      <c r="A66" s="2" t="s">
        <v>98</v>
      </c>
      <c r="B66" s="3" t="s">
        <v>19</v>
      </c>
      <c r="C66" s="4" t="s">
        <v>103</v>
      </c>
      <c r="D66" s="2" t="s">
        <v>106</v>
      </c>
      <c r="E66" s="8" t="s">
        <v>61</v>
      </c>
    </row>
    <row r="67" spans="1:5" ht="25.5" x14ac:dyDescent="0.25">
      <c r="A67" s="2" t="s">
        <v>98</v>
      </c>
      <c r="B67" s="3" t="s">
        <v>21</v>
      </c>
      <c r="C67" s="4" t="s">
        <v>103</v>
      </c>
      <c r="D67" s="2" t="s">
        <v>107</v>
      </c>
      <c r="E67" s="8" t="s">
        <v>61</v>
      </c>
    </row>
    <row r="68" spans="1:5" ht="25.5" x14ac:dyDescent="0.25">
      <c r="A68" s="2" t="s">
        <v>98</v>
      </c>
      <c r="B68" s="3" t="s">
        <v>23</v>
      </c>
      <c r="C68" s="4" t="s">
        <v>103</v>
      </c>
      <c r="D68" s="2" t="s">
        <v>108</v>
      </c>
      <c r="E68" s="8" t="s">
        <v>61</v>
      </c>
    </row>
    <row r="69" spans="1:5" ht="25.5" x14ac:dyDescent="0.25">
      <c r="A69" s="2" t="s">
        <v>98</v>
      </c>
      <c r="B69" s="3" t="s">
        <v>25</v>
      </c>
      <c r="C69" s="4" t="s">
        <v>103</v>
      </c>
      <c r="D69" s="2" t="s">
        <v>109</v>
      </c>
      <c r="E69" s="8" t="s">
        <v>61</v>
      </c>
    </row>
    <row r="70" spans="1:5" ht="25.5" x14ac:dyDescent="0.25">
      <c r="A70" s="2" t="s">
        <v>98</v>
      </c>
      <c r="B70" s="3" t="s">
        <v>27</v>
      </c>
      <c r="C70" s="4" t="s">
        <v>103</v>
      </c>
      <c r="D70" s="2" t="s">
        <v>110</v>
      </c>
      <c r="E70" s="8" t="s">
        <v>61</v>
      </c>
    </row>
    <row r="71" spans="1:5" ht="25.5" x14ac:dyDescent="0.25">
      <c r="A71" s="2" t="s">
        <v>98</v>
      </c>
      <c r="B71" s="3" t="s">
        <v>29</v>
      </c>
      <c r="C71" s="4" t="s">
        <v>103</v>
      </c>
      <c r="D71" s="2" t="s">
        <v>111</v>
      </c>
      <c r="E71" s="8" t="s">
        <v>61</v>
      </c>
    </row>
    <row r="72" spans="1:5" ht="25.5" x14ac:dyDescent="0.25">
      <c r="A72" s="2" t="s">
        <v>98</v>
      </c>
      <c r="B72" s="3" t="s">
        <v>31</v>
      </c>
      <c r="C72" s="4" t="s">
        <v>103</v>
      </c>
      <c r="D72" s="2" t="s">
        <v>112</v>
      </c>
      <c r="E72" s="8" t="s">
        <v>61</v>
      </c>
    </row>
    <row r="73" spans="1:5" ht="25.5" x14ac:dyDescent="0.25">
      <c r="A73" s="2" t="s">
        <v>98</v>
      </c>
      <c r="B73" s="3" t="s">
        <v>33</v>
      </c>
      <c r="C73" s="4" t="s">
        <v>103</v>
      </c>
      <c r="D73" s="2" t="s">
        <v>113</v>
      </c>
      <c r="E73" s="8" t="s">
        <v>61</v>
      </c>
    </row>
    <row r="74" spans="1:5" ht="25.5" x14ac:dyDescent="0.25">
      <c r="A74" s="2" t="s">
        <v>98</v>
      </c>
      <c r="B74" s="3" t="s">
        <v>35</v>
      </c>
      <c r="C74" s="4" t="s">
        <v>103</v>
      </c>
      <c r="D74" s="2" t="s">
        <v>114</v>
      </c>
      <c r="E74" s="8" t="s">
        <v>61</v>
      </c>
    </row>
    <row r="75" spans="1:5" ht="25.5" x14ac:dyDescent="0.25">
      <c r="A75" s="2" t="s">
        <v>98</v>
      </c>
      <c r="B75" s="3" t="s">
        <v>37</v>
      </c>
      <c r="C75" s="4" t="s">
        <v>103</v>
      </c>
      <c r="D75" s="2" t="s">
        <v>115</v>
      </c>
      <c r="E75" s="8" t="s">
        <v>61</v>
      </c>
    </row>
    <row r="76" spans="1:5" ht="25.5" x14ac:dyDescent="0.25">
      <c r="A76" s="2" t="s">
        <v>98</v>
      </c>
      <c r="B76" s="3" t="s">
        <v>39</v>
      </c>
      <c r="C76" s="4" t="s">
        <v>103</v>
      </c>
      <c r="D76" s="2" t="s">
        <v>116</v>
      </c>
      <c r="E76" s="8" t="s">
        <v>61</v>
      </c>
    </row>
    <row r="77" spans="1:5" ht="25.5" x14ac:dyDescent="0.25">
      <c r="A77" s="2" t="s">
        <v>98</v>
      </c>
      <c r="B77" s="3" t="s">
        <v>42</v>
      </c>
      <c r="C77" s="4" t="s">
        <v>103</v>
      </c>
      <c r="D77" s="2" t="s">
        <v>117</v>
      </c>
      <c r="E77" s="8" t="s">
        <v>61</v>
      </c>
    </row>
    <row r="78" spans="1:5" ht="25.5" x14ac:dyDescent="0.25">
      <c r="A78" s="2" t="s">
        <v>98</v>
      </c>
      <c r="B78" s="3" t="s">
        <v>44</v>
      </c>
      <c r="C78" s="4" t="s">
        <v>103</v>
      </c>
      <c r="D78" s="2" t="s">
        <v>118</v>
      </c>
      <c r="E78" s="8" t="s">
        <v>61</v>
      </c>
    </row>
    <row r="79" spans="1:5" ht="25.5" x14ac:dyDescent="0.25">
      <c r="A79" s="2" t="s">
        <v>98</v>
      </c>
      <c r="B79" s="3" t="s">
        <v>46</v>
      </c>
      <c r="C79" s="4" t="s">
        <v>103</v>
      </c>
      <c r="D79" s="2" t="s">
        <v>119</v>
      </c>
      <c r="E79" s="8" t="s">
        <v>61</v>
      </c>
    </row>
    <row r="80" spans="1:5" ht="25.5" x14ac:dyDescent="0.25">
      <c r="A80" s="2" t="s">
        <v>98</v>
      </c>
      <c r="B80" s="3" t="s">
        <v>48</v>
      </c>
      <c r="C80" s="4" t="s">
        <v>103</v>
      </c>
      <c r="D80" s="2" t="s">
        <v>120</v>
      </c>
      <c r="E80" s="8" t="s">
        <v>61</v>
      </c>
    </row>
    <row r="81" spans="1:5" ht="25.5" x14ac:dyDescent="0.25">
      <c r="A81" s="2" t="s">
        <v>98</v>
      </c>
      <c r="B81" s="3" t="s">
        <v>50</v>
      </c>
      <c r="C81" s="4" t="s">
        <v>103</v>
      </c>
      <c r="D81" s="2" t="s">
        <v>121</v>
      </c>
      <c r="E81" s="8" t="s">
        <v>61</v>
      </c>
    </row>
    <row r="82" spans="1:5" ht="25.5" x14ac:dyDescent="0.25">
      <c r="A82" s="2" t="s">
        <v>98</v>
      </c>
      <c r="B82" s="3" t="s">
        <v>52</v>
      </c>
      <c r="C82" s="4" t="s">
        <v>103</v>
      </c>
      <c r="D82" s="2" t="s">
        <v>122</v>
      </c>
      <c r="E82" s="8" t="s">
        <v>61</v>
      </c>
    </row>
    <row r="83" spans="1:5" ht="25.5" x14ac:dyDescent="0.25">
      <c r="A83" s="2" t="s">
        <v>98</v>
      </c>
      <c r="B83" s="3" t="s">
        <v>54</v>
      </c>
      <c r="C83" s="4" t="s">
        <v>103</v>
      </c>
      <c r="D83" s="2" t="s">
        <v>123</v>
      </c>
      <c r="E83" s="8" t="s">
        <v>61</v>
      </c>
    </row>
    <row r="84" spans="1:5" ht="38.25" x14ac:dyDescent="0.25">
      <c r="A84" s="2" t="s">
        <v>98</v>
      </c>
      <c r="B84" s="3" t="s">
        <v>56</v>
      </c>
      <c r="C84" s="4" t="s">
        <v>124</v>
      </c>
      <c r="D84" s="2"/>
      <c r="E84" s="5">
        <v>1.4</v>
      </c>
    </row>
    <row r="85" spans="1:5" x14ac:dyDescent="0.25">
      <c r="A85" s="2" t="s">
        <v>98</v>
      </c>
      <c r="B85" s="3" t="s">
        <v>125</v>
      </c>
      <c r="C85" s="4" t="s">
        <v>126</v>
      </c>
      <c r="D85" s="2"/>
      <c r="E85" s="7">
        <v>13.3</v>
      </c>
    </row>
    <row r="86" spans="1:5" ht="25.5" x14ac:dyDescent="0.25">
      <c r="A86" s="2" t="s">
        <v>98</v>
      </c>
      <c r="B86" s="3" t="s">
        <v>127</v>
      </c>
      <c r="C86" s="4" t="s">
        <v>128</v>
      </c>
      <c r="D86" s="2"/>
      <c r="E86" s="6">
        <v>20.3</v>
      </c>
    </row>
    <row r="87" spans="1:5" x14ac:dyDescent="0.25">
      <c r="A87" s="2" t="s">
        <v>98</v>
      </c>
      <c r="B87" s="3" t="s">
        <v>129</v>
      </c>
      <c r="C87" s="4" t="s">
        <v>130</v>
      </c>
      <c r="D87" s="2" t="s">
        <v>131</v>
      </c>
      <c r="E87" s="7">
        <v>16</v>
      </c>
    </row>
    <row r="88" spans="1:5" ht="25.5" x14ac:dyDescent="0.25">
      <c r="A88" s="2" t="s">
        <v>98</v>
      </c>
      <c r="B88" s="3" t="s">
        <v>132</v>
      </c>
      <c r="C88" s="4" t="s">
        <v>133</v>
      </c>
      <c r="D88" s="2"/>
      <c r="E88" s="7">
        <v>18</v>
      </c>
    </row>
    <row r="89" spans="1:5" ht="25.5" x14ac:dyDescent="0.25">
      <c r="A89" s="2" t="s">
        <v>98</v>
      </c>
      <c r="B89" s="3" t="s">
        <v>134</v>
      </c>
      <c r="C89" s="4" t="s">
        <v>135</v>
      </c>
      <c r="D89" s="2" t="s">
        <v>136</v>
      </c>
      <c r="E89" s="7">
        <v>10.4</v>
      </c>
    </row>
    <row r="90" spans="1:5" ht="25.5" x14ac:dyDescent="0.25">
      <c r="A90" s="2" t="s">
        <v>98</v>
      </c>
      <c r="B90" s="3" t="s">
        <v>137</v>
      </c>
      <c r="C90" s="4" t="s">
        <v>138</v>
      </c>
      <c r="D90" s="2" t="s">
        <v>139</v>
      </c>
      <c r="E90" s="7">
        <v>10.7</v>
      </c>
    </row>
    <row r="91" spans="1:5" x14ac:dyDescent="0.25">
      <c r="A91" s="2" t="s">
        <v>98</v>
      </c>
      <c r="B91" s="3" t="s">
        <v>140</v>
      </c>
      <c r="C91" s="4" t="s">
        <v>141</v>
      </c>
      <c r="D91" s="2" t="s">
        <v>142</v>
      </c>
      <c r="E91" s="7">
        <v>10.5</v>
      </c>
    </row>
    <row r="92" spans="1:5" x14ac:dyDescent="0.25">
      <c r="A92" s="2" t="s">
        <v>98</v>
      </c>
      <c r="B92" s="3" t="s">
        <v>143</v>
      </c>
      <c r="C92" s="4" t="s">
        <v>144</v>
      </c>
      <c r="D92" s="2" t="s">
        <v>145</v>
      </c>
      <c r="E92" s="7">
        <v>15.9</v>
      </c>
    </row>
    <row r="93" spans="1:5" x14ac:dyDescent="0.25">
      <c r="A93" s="2" t="s">
        <v>98</v>
      </c>
      <c r="B93" s="3" t="s">
        <v>146</v>
      </c>
      <c r="C93" s="4" t="s">
        <v>147</v>
      </c>
      <c r="D93" s="2" t="s">
        <v>148</v>
      </c>
      <c r="E93" s="7">
        <v>12.1</v>
      </c>
    </row>
    <row r="94" spans="1:5" x14ac:dyDescent="0.25">
      <c r="A94" s="2" t="s">
        <v>98</v>
      </c>
      <c r="B94" s="3" t="s">
        <v>149</v>
      </c>
      <c r="C94" s="4" t="s">
        <v>150</v>
      </c>
      <c r="D94" s="2" t="s">
        <v>151</v>
      </c>
      <c r="E94" s="7">
        <v>18.2</v>
      </c>
    </row>
    <row r="95" spans="1:5" x14ac:dyDescent="0.25">
      <c r="A95" s="2" t="s">
        <v>98</v>
      </c>
      <c r="B95" s="3" t="s">
        <v>152</v>
      </c>
      <c r="C95" s="4" t="s">
        <v>153</v>
      </c>
      <c r="D95" s="2" t="s">
        <v>154</v>
      </c>
      <c r="E95" s="7">
        <v>11.7</v>
      </c>
    </row>
    <row r="96" spans="1:5" x14ac:dyDescent="0.25">
      <c r="A96" s="2" t="s">
        <v>98</v>
      </c>
      <c r="B96" s="3" t="s">
        <v>155</v>
      </c>
      <c r="C96" s="4" t="s">
        <v>156</v>
      </c>
      <c r="D96" s="2" t="s">
        <v>157</v>
      </c>
      <c r="E96" s="7">
        <v>13.6</v>
      </c>
    </row>
    <row r="97" spans="1:5" ht="25.5" x14ac:dyDescent="0.25">
      <c r="A97" s="2" t="s">
        <v>98</v>
      </c>
      <c r="B97" s="3" t="s">
        <v>158</v>
      </c>
      <c r="C97" s="4" t="s">
        <v>159</v>
      </c>
      <c r="D97" s="2" t="s">
        <v>160</v>
      </c>
      <c r="E97" s="7">
        <v>15.2</v>
      </c>
    </row>
    <row r="98" spans="1:5" x14ac:dyDescent="0.25">
      <c r="A98" s="2" t="s">
        <v>98</v>
      </c>
      <c r="B98" s="3" t="s">
        <v>161</v>
      </c>
      <c r="C98" s="4" t="s">
        <v>162</v>
      </c>
      <c r="D98" s="2" t="s">
        <v>163</v>
      </c>
      <c r="E98" s="5">
        <v>7.2</v>
      </c>
    </row>
    <row r="99" spans="1:5" x14ac:dyDescent="0.25">
      <c r="A99" s="2" t="s">
        <v>98</v>
      </c>
      <c r="B99" s="3" t="s">
        <v>164</v>
      </c>
      <c r="C99" s="4" t="s">
        <v>162</v>
      </c>
      <c r="D99" s="2" t="s">
        <v>165</v>
      </c>
      <c r="E99" s="5">
        <v>8.4</v>
      </c>
    </row>
    <row r="100" spans="1:5" x14ac:dyDescent="0.25">
      <c r="A100" s="2" t="s">
        <v>98</v>
      </c>
      <c r="B100" s="3" t="s">
        <v>166</v>
      </c>
      <c r="C100" s="4" t="s">
        <v>162</v>
      </c>
      <c r="D100" s="2" t="s">
        <v>167</v>
      </c>
      <c r="E100" s="7">
        <v>10.1</v>
      </c>
    </row>
    <row r="101" spans="1:5" x14ac:dyDescent="0.25">
      <c r="A101" s="2" t="s">
        <v>98</v>
      </c>
      <c r="B101" s="3" t="s">
        <v>168</v>
      </c>
      <c r="C101" s="4" t="s">
        <v>162</v>
      </c>
      <c r="D101" s="2" t="s">
        <v>169</v>
      </c>
      <c r="E101" s="7">
        <v>17</v>
      </c>
    </row>
    <row r="102" spans="1:5" ht="25.5" x14ac:dyDescent="0.25">
      <c r="A102" s="2" t="s">
        <v>98</v>
      </c>
      <c r="B102" s="3" t="s">
        <v>170</v>
      </c>
      <c r="C102" s="4" t="s">
        <v>171</v>
      </c>
      <c r="D102" s="2"/>
      <c r="E102" s="6">
        <v>29.4</v>
      </c>
    </row>
    <row r="103" spans="1:5" ht="25.5" x14ac:dyDescent="0.25">
      <c r="A103" s="2" t="s">
        <v>98</v>
      </c>
      <c r="B103" s="3" t="s">
        <v>172</v>
      </c>
      <c r="C103" s="4" t="s">
        <v>173</v>
      </c>
      <c r="D103" s="2" t="s">
        <v>174</v>
      </c>
      <c r="E103" s="5">
        <v>1.4</v>
      </c>
    </row>
    <row r="104" spans="1:5" ht="25.5" x14ac:dyDescent="0.25">
      <c r="A104" s="2" t="s">
        <v>98</v>
      </c>
      <c r="B104" s="3" t="s">
        <v>175</v>
      </c>
      <c r="C104" s="4" t="s">
        <v>176</v>
      </c>
      <c r="D104" s="2" t="s">
        <v>177</v>
      </c>
      <c r="E104" s="8" t="s">
        <v>61</v>
      </c>
    </row>
    <row r="105" spans="1:5" ht="25.5" x14ac:dyDescent="0.25">
      <c r="A105" s="2" t="s">
        <v>98</v>
      </c>
      <c r="B105" s="3" t="s">
        <v>178</v>
      </c>
      <c r="C105" s="4" t="s">
        <v>176</v>
      </c>
      <c r="D105" s="2" t="s">
        <v>179</v>
      </c>
      <c r="E105" s="8" t="s">
        <v>61</v>
      </c>
    </row>
    <row r="106" spans="1:5" ht="25.5" x14ac:dyDescent="0.25">
      <c r="A106" s="2" t="s">
        <v>98</v>
      </c>
      <c r="B106" s="3" t="s">
        <v>180</v>
      </c>
      <c r="C106" s="4" t="s">
        <v>176</v>
      </c>
      <c r="D106" s="2" t="s">
        <v>181</v>
      </c>
      <c r="E106" s="8" t="s">
        <v>61</v>
      </c>
    </row>
    <row r="107" spans="1:5" ht="25.5" x14ac:dyDescent="0.25">
      <c r="A107" s="2" t="s">
        <v>98</v>
      </c>
      <c r="B107" s="3" t="s">
        <v>182</v>
      </c>
      <c r="C107" s="4" t="s">
        <v>176</v>
      </c>
      <c r="D107" s="2" t="s">
        <v>183</v>
      </c>
      <c r="E107" s="8" t="s">
        <v>61</v>
      </c>
    </row>
    <row r="108" spans="1:5" ht="25.5" x14ac:dyDescent="0.25">
      <c r="A108" s="2" t="s">
        <v>98</v>
      </c>
      <c r="B108" s="3" t="s">
        <v>184</v>
      </c>
      <c r="C108" s="4" t="s">
        <v>176</v>
      </c>
      <c r="D108" s="2" t="s">
        <v>185</v>
      </c>
      <c r="E108" s="8" t="s">
        <v>61</v>
      </c>
    </row>
    <row r="109" spans="1:5" ht="25.5" x14ac:dyDescent="0.25">
      <c r="A109" s="2" t="s">
        <v>98</v>
      </c>
      <c r="B109" s="3" t="s">
        <v>186</v>
      </c>
      <c r="C109" s="4" t="s">
        <v>176</v>
      </c>
      <c r="D109" s="2" t="s">
        <v>187</v>
      </c>
      <c r="E109" s="8" t="s">
        <v>61</v>
      </c>
    </row>
    <row r="110" spans="1:5" ht="25.5" x14ac:dyDescent="0.25">
      <c r="A110" s="2" t="s">
        <v>98</v>
      </c>
      <c r="B110" s="3" t="s">
        <v>188</v>
      </c>
      <c r="C110" s="4" t="s">
        <v>176</v>
      </c>
      <c r="D110" s="2" t="s">
        <v>189</v>
      </c>
      <c r="E110" s="8" t="s">
        <v>61</v>
      </c>
    </row>
    <row r="111" spans="1:5" ht="38.25" x14ac:dyDescent="0.25">
      <c r="A111" s="2" t="s">
        <v>98</v>
      </c>
      <c r="B111" s="3" t="s">
        <v>190</v>
      </c>
      <c r="C111" s="4" t="s">
        <v>191</v>
      </c>
      <c r="D111" s="2" t="s">
        <v>174</v>
      </c>
      <c r="E111" s="5">
        <v>5.5</v>
      </c>
    </row>
    <row r="112" spans="1:5" ht="25.5" x14ac:dyDescent="0.25">
      <c r="A112" s="2" t="s">
        <v>98</v>
      </c>
      <c r="B112" s="3" t="s">
        <v>192</v>
      </c>
      <c r="C112" s="4" t="s">
        <v>193</v>
      </c>
      <c r="D112" s="2" t="s">
        <v>179</v>
      </c>
      <c r="E112" s="8" t="s">
        <v>61</v>
      </c>
    </row>
    <row r="113" spans="1:5" ht="25.5" x14ac:dyDescent="0.25">
      <c r="A113" s="2" t="s">
        <v>98</v>
      </c>
      <c r="B113" s="3" t="s">
        <v>194</v>
      </c>
      <c r="C113" s="4" t="s">
        <v>193</v>
      </c>
      <c r="D113" s="2" t="s">
        <v>183</v>
      </c>
      <c r="E113" s="8" t="s">
        <v>61</v>
      </c>
    </row>
    <row r="114" spans="1:5" ht="25.5" x14ac:dyDescent="0.25">
      <c r="A114" s="2" t="s">
        <v>98</v>
      </c>
      <c r="B114" s="3" t="s">
        <v>195</v>
      </c>
      <c r="C114" s="4" t="s">
        <v>193</v>
      </c>
      <c r="D114" s="2" t="s">
        <v>185</v>
      </c>
      <c r="E114" s="8" t="s">
        <v>61</v>
      </c>
    </row>
    <row r="115" spans="1:5" ht="25.5" x14ac:dyDescent="0.25">
      <c r="A115" s="2" t="s">
        <v>98</v>
      </c>
      <c r="B115" s="3" t="s">
        <v>196</v>
      </c>
      <c r="C115" s="4" t="s">
        <v>193</v>
      </c>
      <c r="D115" s="2" t="s">
        <v>181</v>
      </c>
      <c r="E115" s="8" t="s">
        <v>61</v>
      </c>
    </row>
    <row r="116" spans="1:5" ht="25.5" x14ac:dyDescent="0.25">
      <c r="A116" s="2" t="s">
        <v>98</v>
      </c>
      <c r="B116" s="3" t="s">
        <v>197</v>
      </c>
      <c r="C116" s="4" t="s">
        <v>193</v>
      </c>
      <c r="D116" s="2" t="s">
        <v>177</v>
      </c>
      <c r="E116" s="8" t="s">
        <v>61</v>
      </c>
    </row>
    <row r="117" spans="1:5" ht="25.5" x14ac:dyDescent="0.25">
      <c r="A117" s="2" t="s">
        <v>98</v>
      </c>
      <c r="B117" s="3" t="s">
        <v>198</v>
      </c>
      <c r="C117" s="4" t="s">
        <v>193</v>
      </c>
      <c r="D117" s="2" t="s">
        <v>187</v>
      </c>
      <c r="E117" s="8" t="s">
        <v>61</v>
      </c>
    </row>
    <row r="118" spans="1:5" ht="25.5" x14ac:dyDescent="0.25">
      <c r="A118" s="2" t="s">
        <v>98</v>
      </c>
      <c r="B118" s="3" t="s">
        <v>199</v>
      </c>
      <c r="C118" s="4" t="s">
        <v>193</v>
      </c>
      <c r="D118" s="2" t="s">
        <v>189</v>
      </c>
      <c r="E118" s="8" t="s">
        <v>61</v>
      </c>
    </row>
    <row r="119" spans="1:5" ht="25.5" x14ac:dyDescent="0.25">
      <c r="A119" s="2" t="s">
        <v>200</v>
      </c>
      <c r="B119" s="3" t="s">
        <v>6</v>
      </c>
      <c r="C119" s="4" t="s">
        <v>201</v>
      </c>
      <c r="D119" s="2" t="s">
        <v>202</v>
      </c>
      <c r="E119" s="6">
        <v>36.799999999999997</v>
      </c>
    </row>
    <row r="120" spans="1:5" ht="25.5" x14ac:dyDescent="0.25">
      <c r="A120" s="2" t="s">
        <v>200</v>
      </c>
      <c r="B120" s="3" t="s">
        <v>8</v>
      </c>
      <c r="C120" s="4" t="s">
        <v>203</v>
      </c>
      <c r="D120" s="2" t="s">
        <v>204</v>
      </c>
      <c r="E120" s="5">
        <v>6.5</v>
      </c>
    </row>
    <row r="121" spans="1:5" ht="25.5" x14ac:dyDescent="0.25">
      <c r="A121" s="2" t="s">
        <v>200</v>
      </c>
      <c r="B121" s="3" t="s">
        <v>10</v>
      </c>
      <c r="C121" s="4" t="s">
        <v>205</v>
      </c>
      <c r="D121" s="2" t="s">
        <v>206</v>
      </c>
      <c r="E121" s="7">
        <v>12.6</v>
      </c>
    </row>
    <row r="122" spans="1:5" ht="25.5" x14ac:dyDescent="0.25">
      <c r="A122" s="2" t="s">
        <v>200</v>
      </c>
      <c r="B122" s="3" t="s">
        <v>12</v>
      </c>
      <c r="C122" s="4" t="s">
        <v>207</v>
      </c>
      <c r="D122" s="2" t="s">
        <v>208</v>
      </c>
      <c r="E122" s="6">
        <v>31.8</v>
      </c>
    </row>
    <row r="123" spans="1:5" ht="25.5" x14ac:dyDescent="0.25">
      <c r="A123" s="2" t="s">
        <v>200</v>
      </c>
      <c r="B123" s="3" t="s">
        <v>15</v>
      </c>
      <c r="C123" s="4" t="s">
        <v>209</v>
      </c>
      <c r="D123" s="2" t="s">
        <v>210</v>
      </c>
      <c r="E123" s="6">
        <v>21.7</v>
      </c>
    </row>
    <row r="124" spans="1:5" ht="25.5" x14ac:dyDescent="0.25">
      <c r="A124" s="2" t="s">
        <v>200</v>
      </c>
      <c r="B124" s="3" t="s">
        <v>17</v>
      </c>
      <c r="C124" s="4" t="s">
        <v>211</v>
      </c>
      <c r="D124" s="2" t="s">
        <v>212</v>
      </c>
      <c r="E124" s="7">
        <v>17.3</v>
      </c>
    </row>
    <row r="125" spans="1:5" ht="25.5" x14ac:dyDescent="0.25">
      <c r="A125" s="2" t="s">
        <v>200</v>
      </c>
      <c r="B125" s="3" t="s">
        <v>19</v>
      </c>
      <c r="C125" s="4" t="s">
        <v>213</v>
      </c>
      <c r="D125" s="2" t="s">
        <v>214</v>
      </c>
      <c r="E125" s="6">
        <v>24.4</v>
      </c>
    </row>
    <row r="126" spans="1:5" ht="25.5" x14ac:dyDescent="0.25">
      <c r="A126" s="2" t="s">
        <v>200</v>
      </c>
      <c r="B126" s="3" t="s">
        <v>21</v>
      </c>
      <c r="C126" s="4" t="s">
        <v>215</v>
      </c>
      <c r="D126" s="2" t="s">
        <v>216</v>
      </c>
      <c r="E126" s="6">
        <v>56.9</v>
      </c>
    </row>
    <row r="127" spans="1:5" ht="25.5" x14ac:dyDescent="0.25">
      <c r="A127" s="2" t="s">
        <v>200</v>
      </c>
      <c r="B127" s="3" t="s">
        <v>23</v>
      </c>
      <c r="C127" s="4" t="s">
        <v>217</v>
      </c>
      <c r="D127" s="2" t="s">
        <v>218</v>
      </c>
      <c r="E127" s="6">
        <v>21.6</v>
      </c>
    </row>
    <row r="128" spans="1:5" ht="25.5" x14ac:dyDescent="0.25">
      <c r="A128" s="2" t="s">
        <v>200</v>
      </c>
      <c r="B128" s="3" t="s">
        <v>25</v>
      </c>
      <c r="C128" s="4" t="s">
        <v>219</v>
      </c>
      <c r="D128" s="2" t="s">
        <v>220</v>
      </c>
      <c r="E128" s="6">
        <v>46.4</v>
      </c>
    </row>
    <row r="129" spans="1:5" ht="25.5" x14ac:dyDescent="0.25">
      <c r="A129" s="2" t="s">
        <v>200</v>
      </c>
      <c r="B129" s="3" t="s">
        <v>27</v>
      </c>
      <c r="C129" s="4" t="s">
        <v>221</v>
      </c>
      <c r="D129" s="2" t="s">
        <v>222</v>
      </c>
      <c r="E129" s="6">
        <v>22.7</v>
      </c>
    </row>
    <row r="130" spans="1:5" ht="25.5" x14ac:dyDescent="0.25">
      <c r="A130" s="2" t="s">
        <v>200</v>
      </c>
      <c r="B130" s="3" t="s">
        <v>29</v>
      </c>
      <c r="C130" s="4" t="s">
        <v>223</v>
      </c>
      <c r="D130" s="2" t="s">
        <v>224</v>
      </c>
      <c r="E130" s="6">
        <v>36.799999999999997</v>
      </c>
    </row>
    <row r="131" spans="1:5" ht="25.5" x14ac:dyDescent="0.25">
      <c r="A131" s="2" t="s">
        <v>200</v>
      </c>
      <c r="B131" s="3" t="s">
        <v>31</v>
      </c>
      <c r="C131" s="4" t="s">
        <v>225</v>
      </c>
      <c r="D131" s="2" t="s">
        <v>226</v>
      </c>
      <c r="E131" s="6">
        <v>42.3</v>
      </c>
    </row>
    <row r="132" spans="1:5" ht="25.5" x14ac:dyDescent="0.25">
      <c r="A132" s="2" t="s">
        <v>200</v>
      </c>
      <c r="B132" s="3" t="s">
        <v>33</v>
      </c>
      <c r="C132" s="4" t="s">
        <v>227</v>
      </c>
      <c r="D132" s="2" t="s">
        <v>228</v>
      </c>
      <c r="E132" s="7">
        <v>10.199999999999999</v>
      </c>
    </row>
    <row r="133" spans="1:5" ht="25.5" x14ac:dyDescent="0.25">
      <c r="A133" s="2" t="s">
        <v>200</v>
      </c>
      <c r="B133" s="3" t="s">
        <v>35</v>
      </c>
      <c r="C133" s="4" t="s">
        <v>229</v>
      </c>
      <c r="D133" s="2" t="s">
        <v>230</v>
      </c>
      <c r="E133" s="7">
        <v>14.1</v>
      </c>
    </row>
    <row r="134" spans="1:5" ht="25.5" x14ac:dyDescent="0.25">
      <c r="A134" s="2" t="s">
        <v>200</v>
      </c>
      <c r="B134" s="3" t="s">
        <v>37</v>
      </c>
      <c r="C134" s="4" t="s">
        <v>231</v>
      </c>
      <c r="D134" s="2" t="s">
        <v>232</v>
      </c>
      <c r="E134" s="7">
        <v>14</v>
      </c>
    </row>
    <row r="135" spans="1:5" ht="25.5" x14ac:dyDescent="0.25">
      <c r="A135" s="2" t="s">
        <v>200</v>
      </c>
      <c r="B135" s="3" t="s">
        <v>39</v>
      </c>
      <c r="C135" s="4" t="s">
        <v>233</v>
      </c>
      <c r="D135" s="2" t="s">
        <v>234</v>
      </c>
      <c r="E135" s="5">
        <v>3.3</v>
      </c>
    </row>
    <row r="136" spans="1:5" ht="25.5" x14ac:dyDescent="0.25">
      <c r="A136" s="2" t="s">
        <v>200</v>
      </c>
      <c r="B136" s="3" t="s">
        <v>42</v>
      </c>
      <c r="C136" s="4" t="s">
        <v>235</v>
      </c>
      <c r="D136" s="2" t="s">
        <v>236</v>
      </c>
      <c r="E136" s="7">
        <v>14.6</v>
      </c>
    </row>
    <row r="137" spans="1:5" ht="38.25" x14ac:dyDescent="0.25">
      <c r="A137" s="2" t="s">
        <v>200</v>
      </c>
      <c r="B137" s="3" t="s">
        <v>44</v>
      </c>
      <c r="C137" s="4" t="s">
        <v>237</v>
      </c>
      <c r="D137" s="2" t="s">
        <v>238</v>
      </c>
      <c r="E137" s="6">
        <v>30.4</v>
      </c>
    </row>
    <row r="138" spans="1:5" ht="25.5" x14ac:dyDescent="0.25">
      <c r="A138" s="2" t="s">
        <v>200</v>
      </c>
      <c r="B138" s="3" t="s">
        <v>46</v>
      </c>
      <c r="C138" s="4" t="s">
        <v>239</v>
      </c>
      <c r="D138" s="2" t="s">
        <v>240</v>
      </c>
      <c r="E138" s="6">
        <v>29.8</v>
      </c>
    </row>
    <row r="139" spans="1:5" ht="25.5" x14ac:dyDescent="0.25">
      <c r="A139" s="2" t="s">
        <v>200</v>
      </c>
      <c r="B139" s="3" t="s">
        <v>48</v>
      </c>
      <c r="C139" s="4" t="s">
        <v>241</v>
      </c>
      <c r="D139" s="2" t="s">
        <v>242</v>
      </c>
      <c r="E139" s="7">
        <v>16.100000000000001</v>
      </c>
    </row>
    <row r="140" spans="1:5" ht="25.5" x14ac:dyDescent="0.25">
      <c r="A140" s="2" t="s">
        <v>200</v>
      </c>
      <c r="B140" s="3" t="s">
        <v>50</v>
      </c>
      <c r="C140" s="4" t="s">
        <v>243</v>
      </c>
      <c r="D140" s="2"/>
      <c r="E140" s="6">
        <v>37.5</v>
      </c>
    </row>
    <row r="141" spans="1:5" ht="25.5" x14ac:dyDescent="0.25">
      <c r="A141" s="2" t="s">
        <v>200</v>
      </c>
      <c r="B141" s="3" t="s">
        <v>52</v>
      </c>
      <c r="C141" s="4" t="s">
        <v>244</v>
      </c>
      <c r="D141" s="2"/>
      <c r="E141" s="6">
        <v>32.1</v>
      </c>
    </row>
    <row r="142" spans="1:5" ht="38.25" x14ac:dyDescent="0.25">
      <c r="A142" s="2" t="s">
        <v>200</v>
      </c>
      <c r="B142" s="3" t="s">
        <v>54</v>
      </c>
      <c r="C142" s="4" t="s">
        <v>245</v>
      </c>
      <c r="D142" s="2"/>
      <c r="E142" s="6">
        <v>38.799999999999997</v>
      </c>
    </row>
  </sheetData>
  <autoFilter ref="A1:E14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Normal="100" workbookViewId="0"/>
  </sheetViews>
  <sheetFormatPr baseColWidth="10" defaultColWidth="8.7109375" defaultRowHeight="15" x14ac:dyDescent="0.25"/>
  <cols>
    <col min="1" max="1" width="28" customWidth="1"/>
    <col min="2" max="2" width="22" customWidth="1"/>
    <col min="3" max="3" width="18" customWidth="1"/>
  </cols>
  <sheetData>
    <row r="1" spans="1:3" ht="30" x14ac:dyDescent="0.25">
      <c r="A1" s="1" t="s">
        <v>0</v>
      </c>
      <c r="B1" s="1" t="s">
        <v>246</v>
      </c>
      <c r="C1" s="1" t="s">
        <v>247</v>
      </c>
    </row>
    <row r="2" spans="1:3" x14ac:dyDescent="0.25">
      <c r="A2" s="9" t="s">
        <v>5</v>
      </c>
      <c r="B2" s="10">
        <f>COUNTIFS('Detalle por pregunta'!A:A,A2,'Detalle por pregunta'!E:E,"&gt;=0")</f>
        <v>25</v>
      </c>
      <c r="C2" s="11">
        <f>IFERROR(AVERAGEIFS('Detalle por pregunta'!E:E,'Detalle por pregunta'!A:A,A2,'Detalle por pregunta'!E:E,"&gt;=0"),"")</f>
        <v>10.804</v>
      </c>
    </row>
    <row r="3" spans="1:3" x14ac:dyDescent="0.25">
      <c r="A3" s="9" t="s">
        <v>58</v>
      </c>
      <c r="B3" s="10">
        <f>COUNTIFS('Detalle por pregunta'!A:A,A3,'Detalle por pregunta'!E:E,"&gt;=0")</f>
        <v>9</v>
      </c>
      <c r="C3" s="11">
        <f>IFERROR(AVERAGEIFS('Detalle por pregunta'!E:E,'Detalle por pregunta'!A:A,A3,'Detalle por pregunta'!E:E,"&gt;=0"),"")</f>
        <v>17.933333333333334</v>
      </c>
    </row>
    <row r="4" spans="1:3" x14ac:dyDescent="0.25">
      <c r="A4" s="9" t="s">
        <v>88</v>
      </c>
      <c r="B4" s="10">
        <f>COUNTIFS('Detalle por pregunta'!A:A,A4,'Detalle por pregunta'!E:E,"&gt;=0")</f>
        <v>6</v>
      </c>
      <c r="C4" s="11">
        <f>IFERROR(AVERAGEIFS('Detalle por pregunta'!E:E,'Detalle por pregunta'!A:A,A4,'Detalle por pregunta'!E:E,"&gt;=0"),"")</f>
        <v>19.583333333333332</v>
      </c>
    </row>
    <row r="5" spans="1:3" x14ac:dyDescent="0.25">
      <c r="A5" s="9" t="s">
        <v>95</v>
      </c>
      <c r="B5" s="10">
        <f>COUNTIFS('Detalle por pregunta'!A:A,A5,'Detalle por pregunta'!E:E,"&gt;=0")</f>
        <v>2</v>
      </c>
      <c r="C5" s="11">
        <f>IFERROR(AVERAGEIFS('Detalle por pregunta'!E:E,'Detalle por pregunta'!A:A,A5,'Detalle por pregunta'!E:E,"&gt;=0"),"")</f>
        <v>26.450000000000003</v>
      </c>
    </row>
    <row r="6" spans="1:3" x14ac:dyDescent="0.25">
      <c r="A6" s="9" t="s">
        <v>98</v>
      </c>
      <c r="B6" s="10">
        <f>COUNTIFS('Detalle por pregunta'!A:A,A6,'Detalle por pregunta'!E:E,"&gt;=0")</f>
        <v>25</v>
      </c>
      <c r="C6" s="11">
        <f>IFERROR(AVERAGEIFS('Detalle por pregunta'!E:E,'Detalle por pregunta'!A:A,A6,'Detalle por pregunta'!E:E,"&gt;=0"),"")</f>
        <v>11.831999999999999</v>
      </c>
    </row>
    <row r="7" spans="1:3" x14ac:dyDescent="0.25">
      <c r="A7" s="9" t="s">
        <v>200</v>
      </c>
      <c r="B7" s="10">
        <f>COUNTIFS('Detalle por pregunta'!A:A,A7,'Detalle por pregunta'!E:E,"&gt;=0")</f>
        <v>24</v>
      </c>
      <c r="C7" s="11">
        <f>IFERROR(AVERAGEIFS('Detalle por pregunta'!E:E,'Detalle por pregunta'!A:A,A7,'Detalle por pregunta'!E:E,"&gt;=0"),"")</f>
        <v>25.779166666666669</v>
      </c>
    </row>
    <row r="8" spans="1:3" x14ac:dyDescent="0.25">
      <c r="A8" s="12" t="s">
        <v>248</v>
      </c>
      <c r="B8" s="13">
        <f>SUM(B2:B7)</f>
        <v>91</v>
      </c>
      <c r="C8" s="14">
        <f>AVERAGEIF('Detalle por pregunta'!E:E,"&gt;=0")</f>
        <v>16.663736263736261</v>
      </c>
    </row>
    <row r="10" spans="1:3" x14ac:dyDescent="0.25">
      <c r="A10" s="15" t="s">
        <v>249</v>
      </c>
    </row>
    <row r="11" spans="1:3" x14ac:dyDescent="0.25">
      <c r="A11" s="15" t="s">
        <v>250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10AF-6993-42BF-8634-6317A51AD03C}">
  <dimension ref="A1:G7"/>
  <sheetViews>
    <sheetView workbookViewId="0">
      <selection activeCell="A4" sqref="A4"/>
    </sheetView>
  </sheetViews>
  <sheetFormatPr baseColWidth="10" defaultRowHeight="15" x14ac:dyDescent="0.25"/>
  <cols>
    <col min="1" max="1" width="16.85546875" bestFit="1" customWidth="1"/>
    <col min="2" max="2" width="14.140625" bestFit="1" customWidth="1"/>
    <col min="3" max="3" width="38.140625" bestFit="1" customWidth="1"/>
    <col min="4" max="4" width="18.7109375" bestFit="1" customWidth="1"/>
    <col min="5" max="5" width="15.85546875" bestFit="1" customWidth="1"/>
    <col min="6" max="6" width="33.7109375" bestFit="1" customWidth="1"/>
  </cols>
  <sheetData>
    <row r="1" spans="1:7" x14ac:dyDescent="0.25">
      <c r="A1" t="s">
        <v>251</v>
      </c>
      <c r="B1" t="s">
        <v>252</v>
      </c>
      <c r="C1" t="s">
        <v>253</v>
      </c>
      <c r="D1" t="s">
        <v>254</v>
      </c>
      <c r="E1" t="s">
        <v>255</v>
      </c>
      <c r="F1" t="s">
        <v>277</v>
      </c>
      <c r="G1" t="s">
        <v>280</v>
      </c>
    </row>
    <row r="2" spans="1:7" x14ac:dyDescent="0.25">
      <c r="A2" t="s">
        <v>256</v>
      </c>
      <c r="B2" t="s">
        <v>257</v>
      </c>
      <c r="C2" t="s">
        <v>258</v>
      </c>
      <c r="D2" t="s">
        <v>259</v>
      </c>
      <c r="E2" t="s">
        <v>260</v>
      </c>
    </row>
    <row r="3" spans="1:7" x14ac:dyDescent="0.25">
      <c r="A3" t="s">
        <v>261</v>
      </c>
      <c r="B3" t="s">
        <v>262</v>
      </c>
      <c r="C3" t="s">
        <v>263</v>
      </c>
      <c r="D3" t="s">
        <v>264</v>
      </c>
      <c r="E3" t="s">
        <v>265</v>
      </c>
    </row>
    <row r="4" spans="1:7" x14ac:dyDescent="0.25">
      <c r="A4" t="s">
        <v>266</v>
      </c>
      <c r="B4" t="s">
        <v>267</v>
      </c>
      <c r="C4" t="s">
        <v>268</v>
      </c>
      <c r="D4" t="s">
        <v>269</v>
      </c>
      <c r="E4" t="s">
        <v>270</v>
      </c>
    </row>
    <row r="5" spans="1:7" x14ac:dyDescent="0.25">
      <c r="A5" t="s">
        <v>271</v>
      </c>
      <c r="B5" t="s">
        <v>262</v>
      </c>
      <c r="C5" t="s">
        <v>272</v>
      </c>
      <c r="D5" t="s">
        <v>273</v>
      </c>
      <c r="E5" t="s">
        <v>265</v>
      </c>
    </row>
    <row r="6" spans="1:7" x14ac:dyDescent="0.25">
      <c r="A6" t="s">
        <v>274</v>
      </c>
      <c r="B6" t="s">
        <v>262</v>
      </c>
      <c r="C6" t="s">
        <v>275</v>
      </c>
      <c r="D6" t="s">
        <v>276</v>
      </c>
      <c r="E6" t="s">
        <v>265</v>
      </c>
    </row>
    <row r="7" spans="1:7" x14ac:dyDescent="0.25">
      <c r="A7" t="s">
        <v>278</v>
      </c>
      <c r="B7" t="s">
        <v>262</v>
      </c>
      <c r="D7" t="s">
        <v>269</v>
      </c>
      <c r="E7" t="s">
        <v>265</v>
      </c>
      <c r="F7" t="s">
        <v>279</v>
      </c>
      <c r="G7">
        <v>1000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F41E-A695-4EC2-A504-BF47803558DB}">
  <dimension ref="A1:A39"/>
  <sheetViews>
    <sheetView workbookViewId="0">
      <selection activeCell="B1" sqref="B1"/>
    </sheetView>
  </sheetViews>
  <sheetFormatPr baseColWidth="10" defaultRowHeight="15" x14ac:dyDescent="0.25"/>
  <cols>
    <col min="1" max="1" width="161.42578125" bestFit="1" customWidth="1"/>
  </cols>
  <sheetData>
    <row r="1" spans="1:1" x14ac:dyDescent="0.25">
      <c r="A1" s="17" t="s">
        <v>281</v>
      </c>
    </row>
    <row r="2" spans="1:1" x14ac:dyDescent="0.25">
      <c r="A2" s="16" t="s">
        <v>282</v>
      </c>
    </row>
    <row r="3" spans="1:1" x14ac:dyDescent="0.25">
      <c r="A3" s="16" t="s">
        <v>283</v>
      </c>
    </row>
    <row r="4" spans="1:1" x14ac:dyDescent="0.25">
      <c r="A4" s="16" t="s">
        <v>284</v>
      </c>
    </row>
    <row r="5" spans="1:1" x14ac:dyDescent="0.25">
      <c r="A5" s="16" t="s">
        <v>285</v>
      </c>
    </row>
    <row r="6" spans="1:1" x14ac:dyDescent="0.25">
      <c r="A6" s="16" t="s">
        <v>286</v>
      </c>
    </row>
    <row r="7" spans="1:1" x14ac:dyDescent="0.25">
      <c r="A7" s="16" t="s">
        <v>287</v>
      </c>
    </row>
    <row r="8" spans="1:1" x14ac:dyDescent="0.25">
      <c r="A8" s="17" t="s">
        <v>288</v>
      </c>
    </row>
    <row r="9" spans="1:1" x14ac:dyDescent="0.25">
      <c r="A9" s="16" t="s">
        <v>289</v>
      </c>
    </row>
    <row r="10" spans="1:1" x14ac:dyDescent="0.25">
      <c r="A10" s="16" t="s">
        <v>290</v>
      </c>
    </row>
    <row r="11" spans="1:1" x14ac:dyDescent="0.25">
      <c r="A11" s="17" t="s">
        <v>291</v>
      </c>
    </row>
    <row r="12" spans="1:1" x14ac:dyDescent="0.25">
      <c r="A12" s="16" t="s">
        <v>292</v>
      </c>
    </row>
    <row r="13" spans="1:1" x14ac:dyDescent="0.25">
      <c r="A13" s="16" t="s">
        <v>293</v>
      </c>
    </row>
    <row r="14" spans="1:1" x14ac:dyDescent="0.25">
      <c r="A14" s="16" t="s">
        <v>294</v>
      </c>
    </row>
    <row r="15" spans="1:1" x14ac:dyDescent="0.25">
      <c r="A15" s="16" t="s">
        <v>295</v>
      </c>
    </row>
    <row r="16" spans="1:1" x14ac:dyDescent="0.25">
      <c r="A16" s="16" t="s">
        <v>296</v>
      </c>
    </row>
    <row r="17" spans="1:1" x14ac:dyDescent="0.25">
      <c r="A17" s="17" t="s">
        <v>297</v>
      </c>
    </row>
    <row r="18" spans="1:1" x14ac:dyDescent="0.25">
      <c r="A18" s="16" t="s">
        <v>298</v>
      </c>
    </row>
    <row r="19" spans="1:1" x14ac:dyDescent="0.25">
      <c r="A19" s="16" t="s">
        <v>299</v>
      </c>
    </row>
    <row r="20" spans="1:1" x14ac:dyDescent="0.25">
      <c r="A20" s="16" t="s">
        <v>300</v>
      </c>
    </row>
    <row r="21" spans="1:1" x14ac:dyDescent="0.25">
      <c r="A21" s="16" t="s">
        <v>301</v>
      </c>
    </row>
    <row r="22" spans="1:1" x14ac:dyDescent="0.25">
      <c r="A22" s="16" t="s">
        <v>302</v>
      </c>
    </row>
    <row r="23" spans="1:1" x14ac:dyDescent="0.25">
      <c r="A23" s="16" t="s">
        <v>303</v>
      </c>
    </row>
    <row r="24" spans="1:1" x14ac:dyDescent="0.25">
      <c r="A24" s="16" t="s">
        <v>304</v>
      </c>
    </row>
    <row r="25" spans="1:1" x14ac:dyDescent="0.25">
      <c r="A25" s="16" t="s">
        <v>305</v>
      </c>
    </row>
    <row r="26" spans="1:1" x14ac:dyDescent="0.25">
      <c r="A26" s="16" t="s">
        <v>306</v>
      </c>
    </row>
    <row r="27" spans="1:1" x14ac:dyDescent="0.25">
      <c r="A27" s="17" t="s">
        <v>307</v>
      </c>
    </row>
    <row r="28" spans="1:1" x14ac:dyDescent="0.25">
      <c r="A28" s="16" t="s">
        <v>308</v>
      </c>
    </row>
    <row r="29" spans="1:1" x14ac:dyDescent="0.25">
      <c r="A29" s="16" t="s">
        <v>309</v>
      </c>
    </row>
    <row r="30" spans="1:1" x14ac:dyDescent="0.25">
      <c r="A30" s="16" t="s">
        <v>310</v>
      </c>
    </row>
    <row r="31" spans="1:1" x14ac:dyDescent="0.25">
      <c r="A31" s="16" t="s">
        <v>311</v>
      </c>
    </row>
    <row r="32" spans="1:1" x14ac:dyDescent="0.25">
      <c r="A32" s="16" t="s">
        <v>312</v>
      </c>
    </row>
    <row r="33" spans="1:1" x14ac:dyDescent="0.25">
      <c r="A33" s="16" t="s">
        <v>313</v>
      </c>
    </row>
    <row r="34" spans="1:1" x14ac:dyDescent="0.25">
      <c r="A34" s="16" t="s">
        <v>314</v>
      </c>
    </row>
    <row r="35" spans="1:1" x14ac:dyDescent="0.25">
      <c r="A35" s="16" t="s">
        <v>315</v>
      </c>
    </row>
    <row r="36" spans="1:1" x14ac:dyDescent="0.25">
      <c r="A36" s="16" t="s">
        <v>316</v>
      </c>
    </row>
    <row r="37" spans="1:1" x14ac:dyDescent="0.25">
      <c r="A37" s="16" t="s">
        <v>317</v>
      </c>
    </row>
    <row r="38" spans="1:1" x14ac:dyDescent="0.25">
      <c r="A38" s="16" t="s">
        <v>318</v>
      </c>
    </row>
    <row r="39" spans="1:1" x14ac:dyDescent="0.25">
      <c r="A39" s="16" t="s">
        <v>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460F-18AC-4019-A68B-9205B2CDBF85}">
  <dimension ref="A1:H14"/>
  <sheetViews>
    <sheetView tabSelected="1" workbookViewId="0">
      <selection activeCell="E1" sqref="E1"/>
    </sheetView>
  </sheetViews>
  <sheetFormatPr baseColWidth="10" defaultRowHeight="15" x14ac:dyDescent="0.25"/>
  <cols>
    <col min="1" max="1" width="43" style="18" customWidth="1"/>
    <col min="2" max="2" width="3.140625" style="18" customWidth="1"/>
    <col min="3" max="3" width="45.7109375" style="18" customWidth="1"/>
    <col min="4" max="4" width="2" customWidth="1"/>
    <col min="5" max="5" width="30.28515625" style="18" bestFit="1" customWidth="1"/>
    <col min="6" max="6" width="2.28515625" customWidth="1"/>
    <col min="7" max="7" width="19.5703125" customWidth="1"/>
  </cols>
  <sheetData>
    <row r="1" spans="1:8" ht="45" x14ac:dyDescent="0.25">
      <c r="A1" s="19" t="s">
        <v>323</v>
      </c>
      <c r="B1" s="19"/>
      <c r="C1" s="19" t="s">
        <v>328</v>
      </c>
      <c r="D1" s="18"/>
      <c r="E1" s="18" t="s">
        <v>327</v>
      </c>
      <c r="F1" s="18"/>
      <c r="G1" s="19" t="s">
        <v>355</v>
      </c>
      <c r="H1" s="21"/>
    </row>
    <row r="2" spans="1:8" x14ac:dyDescent="0.25">
      <c r="A2" s="20" t="s">
        <v>320</v>
      </c>
      <c r="B2" s="20"/>
      <c r="C2" s="20" t="s">
        <v>324</v>
      </c>
      <c r="D2" s="22"/>
      <c r="E2" s="20"/>
      <c r="F2" s="22"/>
      <c r="G2" s="22"/>
    </row>
    <row r="3" spans="1:8" x14ac:dyDescent="0.25">
      <c r="A3" s="20" t="s">
        <v>321</v>
      </c>
      <c r="B3" s="20"/>
      <c r="C3" s="20" t="s">
        <v>325</v>
      </c>
      <c r="D3" s="22"/>
      <c r="E3" s="20"/>
      <c r="F3" s="22"/>
      <c r="G3" s="22"/>
    </row>
    <row r="4" spans="1:8" ht="24.75" x14ac:dyDescent="0.25">
      <c r="A4" s="20" t="s">
        <v>337</v>
      </c>
      <c r="B4" s="20"/>
      <c r="C4" s="20" t="s">
        <v>346</v>
      </c>
      <c r="D4" s="22"/>
      <c r="E4" s="20"/>
      <c r="F4" s="22"/>
      <c r="G4" s="22"/>
    </row>
    <row r="5" spans="1:8" ht="24.75" x14ac:dyDescent="0.25">
      <c r="C5" s="20" t="s">
        <v>347</v>
      </c>
      <c r="D5" s="22"/>
      <c r="E5" s="20"/>
      <c r="F5" s="22"/>
    </row>
    <row r="6" spans="1:8" ht="48.75" x14ac:dyDescent="0.25">
      <c r="A6" s="25" t="s">
        <v>338</v>
      </c>
      <c r="B6" s="25"/>
      <c r="C6" s="25" t="s">
        <v>348</v>
      </c>
      <c r="D6" s="22"/>
      <c r="E6" s="25" t="s">
        <v>332</v>
      </c>
      <c r="F6" s="22"/>
      <c r="G6" s="25" t="s">
        <v>356</v>
      </c>
    </row>
    <row r="7" spans="1:8" x14ac:dyDescent="0.25">
      <c r="A7" s="26" t="s">
        <v>322</v>
      </c>
      <c r="B7" s="26"/>
      <c r="C7" s="26" t="s">
        <v>326</v>
      </c>
      <c r="D7" s="22"/>
      <c r="E7" s="26" t="s">
        <v>329</v>
      </c>
      <c r="F7" s="22"/>
      <c r="G7" s="26" t="s">
        <v>329</v>
      </c>
    </row>
    <row r="8" spans="1:8" ht="24.75" x14ac:dyDescent="0.25">
      <c r="A8" s="27" t="s">
        <v>339</v>
      </c>
      <c r="B8" s="27"/>
      <c r="C8" s="27" t="s">
        <v>349</v>
      </c>
      <c r="D8" s="22"/>
      <c r="E8" s="27" t="s">
        <v>330</v>
      </c>
      <c r="F8" s="22"/>
      <c r="G8" s="27" t="s">
        <v>330</v>
      </c>
    </row>
    <row r="9" spans="1:8" ht="36.75" x14ac:dyDescent="0.25">
      <c r="A9" s="28" t="s">
        <v>340</v>
      </c>
      <c r="B9" s="28"/>
      <c r="C9" s="28" t="s">
        <v>350</v>
      </c>
      <c r="D9" s="22"/>
      <c r="E9" s="28" t="s">
        <v>335</v>
      </c>
      <c r="F9" s="22"/>
      <c r="G9" s="28" t="s">
        <v>350</v>
      </c>
    </row>
    <row r="10" spans="1:8" ht="24.75" x14ac:dyDescent="0.25">
      <c r="A10" s="20" t="s">
        <v>341</v>
      </c>
      <c r="B10" s="20"/>
      <c r="D10" s="22"/>
      <c r="E10" s="20" t="s">
        <v>331</v>
      </c>
      <c r="F10" s="22"/>
    </row>
    <row r="11" spans="1:8" ht="24.75" x14ac:dyDescent="0.25">
      <c r="A11" s="20" t="s">
        <v>342</v>
      </c>
      <c r="B11" s="20"/>
      <c r="C11" s="20" t="s">
        <v>351</v>
      </c>
      <c r="D11" s="22"/>
      <c r="E11" s="20" t="s">
        <v>333</v>
      </c>
      <c r="F11" s="22"/>
      <c r="G11" s="22"/>
    </row>
    <row r="12" spans="1:8" ht="24.75" x14ac:dyDescent="0.25">
      <c r="A12" s="23" t="s">
        <v>343</v>
      </c>
      <c r="B12" s="23"/>
      <c r="C12" s="23" t="s">
        <v>352</v>
      </c>
      <c r="D12" s="24"/>
      <c r="E12" s="23" t="s">
        <v>334</v>
      </c>
      <c r="F12" s="24"/>
      <c r="G12" s="23" t="s">
        <v>334</v>
      </c>
    </row>
    <row r="13" spans="1:8" x14ac:dyDescent="0.25">
      <c r="A13" s="29" t="s">
        <v>344</v>
      </c>
      <c r="B13" s="29"/>
      <c r="C13" s="29" t="s">
        <v>353</v>
      </c>
      <c r="D13" s="22"/>
      <c r="E13" s="30" t="s">
        <v>336</v>
      </c>
      <c r="F13" s="22"/>
      <c r="G13" s="22"/>
    </row>
    <row r="14" spans="1:8" x14ac:dyDescent="0.25">
      <c r="A14" s="20" t="s">
        <v>345</v>
      </c>
      <c r="B14" s="20"/>
      <c r="C14" s="20" t="s">
        <v>354</v>
      </c>
    </row>
  </sheetData>
  <hyperlinks>
    <hyperlink ref="A1" r:id="rId1" xr:uid="{79E55131-186A-4AAC-9A55-37A002164C2C}"/>
    <hyperlink ref="C1" r:id="rId2" display="ENCUESTA: SOCIOMETRO VASCO 2026" xr:uid="{F8D40E3F-3F2B-47E8-977A-7E816E4A72F0}"/>
    <hyperlink ref="G1" r:id="rId3" xr:uid="{59A1917F-BF21-443B-A7D0-FBEC7E8ACC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 por pregunta</vt:lpstr>
      <vt:lpstr>Resumen por bloque</vt:lpstr>
      <vt:lpstr>Hoja1</vt:lpstr>
      <vt:lpstr>primer experimento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Ruiz de Olano Apodaca</cp:lastModifiedBy>
  <cp:revision>0</cp:revision>
  <dcterms:created xsi:type="dcterms:W3CDTF">2026-07-09T14:34:12Z</dcterms:created>
  <dcterms:modified xsi:type="dcterms:W3CDTF">2026-07-15T15:38:05Z</dcterms:modified>
  <dc:language>en-US</dc:language>
</cp:coreProperties>
</file>